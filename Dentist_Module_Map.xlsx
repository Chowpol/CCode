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Module Map" sheetId="2" state="visible" r:id="rId4"/>
    <sheet name="Module List" sheetId="3" state="visible" r:id="rId5"/>
    <sheet name="Screen Inventory" sheetId="4" state="visible" r:id="rId6"/>
  </sheets>
  <definedNames>
    <definedName function="false" hidden="true" localSheetId="2" name="_xlnm._FilterDatabase" vbProcedure="false">'Module List'!$A$4:$I$113</definedName>
    <definedName function="false" hidden="true" localSheetId="3" name="_xlnm._FilterDatabase" vbProcedure="false">'Screen Inventory'!$A$4:$I$87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<sst xmlns="http://schemas.openxmlformats.org/spreadsheetml/2006/main" count="1596" uniqueCount="546">
  <si>
    <t xml:space="preserve">Summary by Module</t>
  </si>
  <si>
    <t xml:space="preserve">Source: Figma file 'Dentist' (https://www.figma.com/design/dAKa9xPhXAuRKat5jGS8Hx/Dentist), Page 1, as of Oct 11, 2026.</t>
  </si>
  <si>
    <t xml:space="preserve">Module ID</t>
  </si>
  <si>
    <t xml:space="preserve">Module</t>
  </si>
  <si>
    <t xml:space="preserve">Sub-modules</t>
  </si>
  <si>
    <t xml:space="preserve">Features</t>
  </si>
  <si>
    <t xml:space="preserve">Screens</t>
  </si>
  <si>
    <t xml:space="preserve">M00</t>
  </si>
  <si>
    <t xml:space="preserve">Global / Shell</t>
  </si>
  <si>
    <t xml:space="preserve">M01</t>
  </si>
  <si>
    <t xml:space="preserve">Dashboard</t>
  </si>
  <si>
    <t xml:space="preserve">M02</t>
  </si>
  <si>
    <t xml:space="preserve">Appointments</t>
  </si>
  <si>
    <t xml:space="preserve">M03</t>
  </si>
  <si>
    <t xml:space="preserve">Patients</t>
  </si>
  <si>
    <t xml:space="preserve">M04</t>
  </si>
  <si>
    <t xml:space="preserve">Reports</t>
  </si>
  <si>
    <t xml:space="preserve">M05</t>
  </si>
  <si>
    <t xml:space="preserve">Account</t>
  </si>
  <si>
    <t xml:space="preserve">Total</t>
  </si>
  <si>
    <t xml:space="preserve">Oralux Dentist Portal — Module Map</t>
  </si>
  <si>
    <t xml:space="preserve">Source: Figma file 'Dentist' (https://www.figma.com/design/dAKa9xPhXAuRKat5jGS8Hx/Dentist), Page 1, as of Oct 11, 2026. Read left to right: Module → Sub-module → Feature.</t>
  </si>
  <si>
    <t xml:space="preserve">Sub-module</t>
  </si>
  <si>
    <t xml:space="preserve">Feature</t>
  </si>
  <si>
    <t xml:space="preserve">Figma</t>
  </si>
  <si>
    <t xml:space="preserve">M00
Global / Shell</t>
  </si>
  <si>
    <t xml:space="preserve">M00.01  Navigation &amp; Layout</t>
  </si>
  <si>
    <t xml:space="preserve">M00.01.01  Org / clinic switcher</t>
  </si>
  <si>
    <t xml:space="preserve">M00.01.02  Sidebar menu</t>
  </si>
  <si>
    <t xml:space="preserve">M00.01.03  Global search (⌘K)</t>
  </si>
  <si>
    <t xml:space="preserve">M00.01.04  Notifications</t>
  </si>
  <si>
    <t xml:space="preserve">M00.01.05  User menu</t>
  </si>
  <si>
    <t xml:space="preserve">M01
Dashboard</t>
  </si>
  <si>
    <t xml:space="preserve">M01.01  Overview</t>
  </si>
  <si>
    <t xml:space="preserve">M01.01.01  Greeting &amp; day summary</t>
  </si>
  <si>
    <t xml:space="preserve">Open</t>
  </si>
  <si>
    <t xml:space="preserve">M01.01.02  Today's schedule</t>
  </si>
  <si>
    <t xml:space="preserve">M01.01.03  Up next card</t>
  </si>
  <si>
    <t xml:space="preserve">M01.01.04  Appointment requests widget</t>
  </si>
  <si>
    <t xml:space="preserve">M01.01.05  Patients seen per month</t>
  </si>
  <si>
    <t xml:space="preserve">M01.01.06  Recent patients</t>
  </si>
  <si>
    <t xml:space="preserve">M02
Appointments</t>
  </si>
  <si>
    <t xml:space="preserve">M02.01  Calendar Views</t>
  </si>
  <si>
    <t xml:space="preserve">M02.01.01  Day view</t>
  </si>
  <si>
    <t xml:space="preserve">M02.01.02  Date filter</t>
  </si>
  <si>
    <t xml:space="preserve">M02.01.03  Week view</t>
  </si>
  <si>
    <t xml:space="preserve">M02.01.04  Month view</t>
  </si>
  <si>
    <t xml:space="preserve">M02.01.05  Filters &amp; toolbar</t>
  </si>
  <si>
    <t xml:space="preserve">M02.01.06  Status legend &amp; summary</t>
  </si>
  <si>
    <t xml:space="preserve">M02.02  Appointment Details</t>
  </si>
  <si>
    <t xml:space="preserve">M02.02.01  View details</t>
  </si>
  <si>
    <t xml:space="preserve">M02.02.02  Status states</t>
  </si>
  <si>
    <t xml:space="preserve">M02.02.03  Reschedule</t>
  </si>
  <si>
    <t xml:space="preserve">M02.02.04  Cancel appointment</t>
  </si>
  <si>
    <t xml:space="preserve">M02.02.05  More actions menu</t>
  </si>
  <si>
    <t xml:space="preserve">M02.02.06  Change procedure</t>
  </si>
  <si>
    <t xml:space="preserve">M02.02.07  Last visit history</t>
  </si>
  <si>
    <t xml:space="preserve">M02.03  Add Appointment</t>
  </si>
  <si>
    <t xml:space="preserve">M02.03.01  Select patient</t>
  </si>
  <si>
    <t xml:space="preserve">M02.03.02  Select procedure &amp; schedule</t>
  </si>
  <si>
    <t xml:space="preserve">M02.03.03  All procedures list</t>
  </si>
  <si>
    <t xml:space="preserve">M02.03.04  Review &amp; confirm</t>
  </si>
  <si>
    <t xml:space="preserve">M02.03.05  Booking confirmation</t>
  </si>
  <si>
    <t xml:space="preserve">M02.04  Appointment Requests</t>
  </si>
  <si>
    <t xml:space="preserve">M02.04.01  Requests drawer</t>
  </si>
  <si>
    <t xml:space="preserve">M02.04.02  Request details</t>
  </si>
  <si>
    <t xml:space="preserve">M03
Patients</t>
  </si>
  <si>
    <t xml:space="preserve">M03.01  Patient List</t>
  </si>
  <si>
    <t xml:space="preserve">M03.01.01  Patient list</t>
  </si>
  <si>
    <t xml:space="preserve">M03.02  Add Patient</t>
  </si>
  <si>
    <t xml:space="preserve">M03.02.01  Add patient form</t>
  </si>
  <si>
    <t xml:space="preserve">M03.02.02  Add success</t>
  </si>
  <si>
    <t xml:space="preserve">M03.02.03  Duplicate detection</t>
  </si>
  <si>
    <t xml:space="preserve">M03.02.04  Merge records</t>
  </si>
  <si>
    <t xml:space="preserve">M03.02.05  Merge success</t>
  </si>
  <si>
    <t xml:space="preserve">M03.03  Patient Details · Header</t>
  </si>
  <si>
    <t xml:space="preserve">M03.03.01  Patient summary</t>
  </si>
  <si>
    <t xml:space="preserve">M03.03.02  Quick actions</t>
  </si>
  <si>
    <t xml:space="preserve">M03.03.03  Outstanding balance</t>
  </si>
  <si>
    <t xml:space="preserve">M03.03.04  Recent activity</t>
  </si>
  <si>
    <t xml:space="preserve">M03.04  General</t>
  </si>
  <si>
    <t xml:space="preserve">M03.04.01  View general info</t>
  </si>
  <si>
    <t xml:space="preserve">M03.04.02  Edit general info</t>
  </si>
  <si>
    <t xml:space="preserve">M03.05  Medical History</t>
  </si>
  <si>
    <t xml:space="preserve">M03.05.01  View medical history</t>
  </si>
  <si>
    <t xml:space="preserve">M03.05.02  Edit medical history</t>
  </si>
  <si>
    <t xml:space="preserve">M03.06  Dental Record Chart</t>
  </si>
  <si>
    <t xml:space="preserve">M03.06.01  Chart · collapsed</t>
  </si>
  <si>
    <t xml:space="preserve">M03.06.02  Chart · expanded</t>
  </si>
  <si>
    <t xml:space="preserve">M03.06.03  Full-screen chart</t>
  </si>
  <si>
    <t xml:space="preserve">M03.07  Transaction Record</t>
  </si>
  <si>
    <t xml:space="preserve">M03.07.01  Transaction list</t>
  </si>
  <si>
    <t xml:space="preserve">M03.07.02  Add transaction · type</t>
  </si>
  <si>
    <t xml:space="preserve">M03.07.03  Add transaction · procedure</t>
  </si>
  <si>
    <t xml:space="preserve">M03.08  Statement of Account</t>
  </si>
  <si>
    <t xml:space="preserve">M03.08.01  Statement of account</t>
  </si>
  <si>
    <t xml:space="preserve">M03.09  Docs</t>
  </si>
  <si>
    <t xml:space="preserve">M03.09.01  Document list</t>
  </si>
  <si>
    <t xml:space="preserve">M03.09.02  Row actions menu</t>
  </si>
  <si>
    <t xml:space="preserve">M03.09.03  Add document · choose type</t>
  </si>
  <si>
    <t xml:space="preserve">M03.09.04  Prescription</t>
  </si>
  <si>
    <t xml:space="preserve">M03.09.05  Dental certificate</t>
  </si>
  <si>
    <t xml:space="preserve">M03.09.06  Informed consent</t>
  </si>
  <si>
    <t xml:space="preserve">M03.09.07  Privacy notice &amp; consent</t>
  </si>
  <si>
    <t xml:space="preserve">M03.09.08  Upload document</t>
  </si>
  <si>
    <t xml:space="preserve">M03.09.09  Custom document</t>
  </si>
  <si>
    <t xml:space="preserve">M03.10  Images</t>
  </si>
  <si>
    <t xml:space="preserve">M03.10.01  Photos</t>
  </si>
  <si>
    <t xml:space="preserve">M03.10.02  Upload photos</t>
  </si>
  <si>
    <t xml:space="preserve">M03.10.03  Albums</t>
  </si>
  <si>
    <t xml:space="preserve">M03.10.04  Album detail</t>
  </si>
  <si>
    <t xml:space="preserve">M03.10.05  Photo viewer</t>
  </si>
  <si>
    <t xml:space="preserve">M04
Reports</t>
  </si>
  <si>
    <t xml:space="preserve">M04.01  Patients Report</t>
  </si>
  <si>
    <t xml:space="preserve">M04.01.01  Filters &amp; dentist selection</t>
  </si>
  <si>
    <t xml:space="preserve">M04.01.02  Patient details report</t>
  </si>
  <si>
    <t xml:space="preserve">M04.01.03  Procedure report</t>
  </si>
  <si>
    <t xml:space="preserve">M04.01.04  Tooth condition report</t>
  </si>
  <si>
    <t xml:space="preserve">M04.01.05  Filter columns</t>
  </si>
  <si>
    <t xml:space="preserve">M04.02  Commission Report</t>
  </si>
  <si>
    <t xml:space="preserve">M04.02.01  Commission report</t>
  </si>
  <si>
    <t xml:space="preserve">M05
Account</t>
  </si>
  <si>
    <t xml:space="preserve">M05.01  Profile</t>
  </si>
  <si>
    <t xml:space="preserve">M05.01.01  Profile details</t>
  </si>
  <si>
    <t xml:space="preserve">M05.01.02  Update profile</t>
  </si>
  <si>
    <t xml:space="preserve">M05.01.03  Update email</t>
  </si>
  <si>
    <t xml:space="preserve">M05.01.04  Verify email</t>
  </si>
  <si>
    <t xml:space="preserve">M05.01.05  Update mobile number</t>
  </si>
  <si>
    <t xml:space="preserve">M05.01.06  Update password</t>
  </si>
  <si>
    <t xml:space="preserve">M05.02  My Signature</t>
  </si>
  <si>
    <t xml:space="preserve">M05.02.01  Signature · empty</t>
  </si>
  <si>
    <t xml:space="preserve">M05.02.02  Signature · saved</t>
  </si>
  <si>
    <t xml:space="preserve">M05.02.03  Draw signature</t>
  </si>
  <si>
    <t xml:space="preserve">M05.02.04  Upload signature</t>
  </si>
  <si>
    <t xml:space="preserve">M05.02.05  Remove signature</t>
  </si>
  <si>
    <t xml:space="preserve">Total screens</t>
  </si>
  <si>
    <t xml:space="preserve">Features with 0 screens are shared UI shown on other screens (e.g. sidebar, patient header), not separate frames.</t>
  </si>
  <si>
    <t xml:space="preserve">Oralux Dentist Portal — Module List</t>
  </si>
  <si>
    <t xml:space="preserve">ID</t>
  </si>
  <si>
    <t xml:space="preserve">Level</t>
  </si>
  <si>
    <t xml:space="preserve">Description</t>
  </si>
  <si>
    <t xml:space="preserve">Figma link</t>
  </si>
  <si>
    <t xml:space="preserve">Notes</t>
  </si>
  <si>
    <t xml:space="preserve">App frame shared by every screen: navigation, search and user context.</t>
  </si>
  <si>
    <t xml:space="preserve">M00.01</t>
  </si>
  <si>
    <t xml:space="preserve">Navigation &amp; Layout</t>
  </si>
  <si>
    <t xml:space="preserve">Persistent sidebar and top bar.</t>
  </si>
  <si>
    <t xml:space="preserve">M00.01.01</t>
  </si>
  <si>
    <t xml:space="preserve">Org / clinic switcher</t>
  </si>
  <si>
    <t xml:space="preserve">Clinic logo and name with 'Powered by oralux'; collapse-panel toggle.</t>
  </si>
  <si>
    <t xml:space="preserve">Shared UI — no dedicated frame</t>
  </si>
  <si>
    <t xml:space="preserve">M00.01.02</t>
  </si>
  <si>
    <t xml:space="preserve">Sidebar menu</t>
  </si>
  <si>
    <t xml:space="preserve">Links to Dashboard, Appointments (Schedule), Patients and Reports.</t>
  </si>
  <si>
    <t xml:space="preserve">M00.01.03</t>
  </si>
  <si>
    <t xml:space="preserve">Global search (⌘K)</t>
  </si>
  <si>
    <t xml:space="preserve">Search patients and records from anywhere.</t>
  </si>
  <si>
    <t xml:space="preserve">M00.01.04</t>
  </si>
  <si>
    <t xml:space="preserve">Notifications</t>
  </si>
  <si>
    <t xml:space="preserve">Bell with unread count badge.</t>
  </si>
  <si>
    <t xml:space="preserve">M00.01.05</t>
  </si>
  <si>
    <t xml:space="preserve">User menu</t>
  </si>
  <si>
    <t xml:space="preserve">Logged-in dentist name, email and avatar; entry to Account.</t>
  </si>
  <si>
    <t xml:space="preserve">Dentist landing page summarising today's work.</t>
  </si>
  <si>
    <t xml:space="preserve">M01.01</t>
  </si>
  <si>
    <t xml:space="preserve">Overview</t>
  </si>
  <si>
    <t xml:space="preserve">Daily summary for the logged-in dentist.</t>
  </si>
  <si>
    <t xml:space="preserve">M01.01.01</t>
  </si>
  <si>
    <t xml:space="preserve">Greeting &amp; day summary</t>
  </si>
  <si>
    <t xml:space="preserve">Greeting, date and number of appointments today.</t>
  </si>
  <si>
    <t xml:space="preserve">M01.01.02</t>
  </si>
  <si>
    <t xml:space="preserve">Today's schedule</t>
  </si>
  <si>
    <t xml:space="preserve">Timeline of today's appointments with status; next free slot; View all.</t>
  </si>
  <si>
    <t xml:space="preserve">M01.01.03</t>
  </si>
  <si>
    <t xml:space="preserve">Up next card</t>
  </si>
  <si>
    <t xml:space="preserve">Next patient in N minutes with procedure/tooth; View patient / Dental chart shortcuts.</t>
  </si>
  <si>
    <t xml:space="preserve">M01.01.04</t>
  </si>
  <si>
    <t xml:space="preserve">Appointment requests widget</t>
  </si>
  <si>
    <t xml:space="preserve">Pending requests with Accept / Decline.</t>
  </si>
  <si>
    <t xml:space="preserve">M01.01.05</t>
  </si>
  <si>
    <t xml:space="preserve">Patients seen per month</t>
  </si>
  <si>
    <t xml:space="preserve">Bar chart of the last 6 months with % change.</t>
  </si>
  <si>
    <t xml:space="preserve">M01.01.06</t>
  </si>
  <si>
    <t xml:space="preserve">Recent patients</t>
  </si>
  <si>
    <t xml:space="preserve">Patients from the most recent visits.</t>
  </si>
  <si>
    <t xml:space="preserve">Clinic schedule: calendar views, booking, request handling and appointment lifecycle.</t>
  </si>
  <si>
    <t xml:space="preserve">M02.01</t>
  </si>
  <si>
    <t xml:space="preserve">Calendar Views</t>
  </si>
  <si>
    <t xml:space="preserve">Day, week and month calendar of appointments.</t>
  </si>
  <si>
    <t xml:space="preserve">M02.01.01</t>
  </si>
  <si>
    <t xml:space="preserve">Day view</t>
  </si>
  <si>
    <t xml:space="preserve">Hourly timeline per dentist with status counts, Next up, and the requests panel.</t>
  </si>
  <si>
    <t xml:space="preserve">M02.01.02</t>
  </si>
  <si>
    <t xml:space="preserve">Date filter</t>
  </si>
  <si>
    <t xml:space="preserve">Date picker to jump to a specific day.</t>
  </si>
  <si>
    <t xml:space="preserve">M02.01.03</t>
  </si>
  <si>
    <t xml:space="preserve">Week view</t>
  </si>
  <si>
    <t xml:space="preserve">Week grid with appointment counts per day.</t>
  </si>
  <si>
    <t xml:space="preserve">M02.01.04</t>
  </si>
  <si>
    <t xml:space="preserve">Month view</t>
  </si>
  <si>
    <t xml:space="preserve">Month grid of appointments.</t>
  </si>
  <si>
    <t xml:space="preserve">M02.01.05</t>
  </si>
  <si>
    <t xml:space="preserve">Filters &amp; toolbar</t>
  </si>
  <si>
    <t xml:space="preserve">Today, treatment filter, chair filter, Day/Week/Month toggle, Full screen, New appointment.</t>
  </si>
  <si>
    <t xml:space="preserve">M02.01.06</t>
  </si>
  <si>
    <t xml:space="preserve">Status legend &amp; summary</t>
  </si>
  <si>
    <t xml:space="preserve">Confirmed, Pending, Rescheduled, Cancelled, Completed, In chair, Checked in, No-show.</t>
  </si>
  <si>
    <t xml:space="preserve">M02.02</t>
  </si>
  <si>
    <t xml:space="preserve">Appointment Details</t>
  </si>
  <si>
    <t xml:space="preserve">Modal to view and act on a single appointment.</t>
  </si>
  <si>
    <t xml:space="preserve">M02.02.01</t>
  </si>
  <si>
    <t xml:space="preserve">View details</t>
  </si>
  <si>
    <t xml:space="preserve">Appointment details modal opened from the calendar.</t>
  </si>
  <si>
    <t xml:space="preserve">M02.02.02</t>
  </si>
  <si>
    <t xml:space="preserve">Status states</t>
  </si>
  <si>
    <t xml:space="preserve">Details modal for Pending, Confirmed, Rescheduled, Cancelled and Completed.</t>
  </si>
  <si>
    <t xml:space="preserve">M02.02.03</t>
  </si>
  <si>
    <t xml:space="preserve">Reschedule</t>
  </si>
  <si>
    <t xml:space="preserve">Pick a new date and time for an appointment.</t>
  </si>
  <si>
    <t xml:space="preserve">M02.02.04</t>
  </si>
  <si>
    <t xml:space="preserve">Cancel appointment</t>
  </si>
  <si>
    <t xml:space="preserve">Confirmation dialog for cancelling.</t>
  </si>
  <si>
    <t xml:space="preserve">M02.02.05</t>
  </si>
  <si>
    <t xml:space="preserve">More actions menu</t>
  </si>
  <si>
    <t xml:space="preserve">Overflow actions on a confirmed appointment.</t>
  </si>
  <si>
    <t xml:space="preserve">M02.02.06</t>
  </si>
  <si>
    <t xml:space="preserve">Change procedure</t>
  </si>
  <si>
    <t xml:space="preserve">Multi-select to change the booked procedures.</t>
  </si>
  <si>
    <t xml:space="preserve">M02.02.07</t>
  </si>
  <si>
    <t xml:space="preserve">Last visit history</t>
  </si>
  <si>
    <t xml:space="preserve">Expandable summary of the patient's last visit.</t>
  </si>
  <si>
    <t xml:space="preserve">M02.03</t>
  </si>
  <si>
    <t xml:space="preserve">Add Appointment</t>
  </si>
  <si>
    <t xml:space="preserve">Step-by-step booking flow.</t>
  </si>
  <si>
    <t xml:space="preserve">M02.03.01</t>
  </si>
  <si>
    <t xml:space="preserve">Select patient</t>
  </si>
  <si>
    <t xml:space="preserve">Search and pick a patient (empty, dropdown and selected states).</t>
  </si>
  <si>
    <t xml:space="preserve">M02.03.02</t>
  </si>
  <si>
    <t xml:space="preserve">Select procedure &amp; schedule</t>
  </si>
  <si>
    <t xml:space="preserve">Choose procedures, dentist, date and time.</t>
  </si>
  <si>
    <t xml:space="preserve">M02.03.03</t>
  </si>
  <si>
    <t xml:space="preserve">All procedures list</t>
  </si>
  <si>
    <t xml:space="preserve">Browse the full procedure catalogue.</t>
  </si>
  <si>
    <t xml:space="preserve">M02.03.04</t>
  </si>
  <si>
    <t xml:space="preserve">Review &amp; confirm</t>
  </si>
  <si>
    <t xml:space="preserve">Summary before booking.</t>
  </si>
  <si>
    <t xml:space="preserve">M02.03.05</t>
  </si>
  <si>
    <t xml:space="preserve">Booking confirmation</t>
  </si>
  <si>
    <t xml:space="preserve">Success state after booking.</t>
  </si>
  <si>
    <t xml:space="preserve">M02.04</t>
  </si>
  <si>
    <t xml:space="preserve">Appointment Requests</t>
  </si>
  <si>
    <t xml:space="preserve">Online booking requests waiting for the dentist.</t>
  </si>
  <si>
    <t xml:space="preserve">M02.04.01</t>
  </si>
  <si>
    <t xml:space="preserve">Requests drawer</t>
  </si>
  <si>
    <t xml:space="preserve">Search requests; Accept / Decline; New / Approved / Declined tabs.</t>
  </si>
  <si>
    <t xml:space="preserve">M02.04.02</t>
  </si>
  <si>
    <t xml:space="preserve">Request details</t>
  </si>
  <si>
    <t xml:space="preserve">Full details of a single request.</t>
  </si>
  <si>
    <t xml:space="preserve">Patient records: registry, profile, clinical, financial, documents and images.</t>
  </si>
  <si>
    <t xml:space="preserve">M03.01</t>
  </si>
  <si>
    <t xml:space="preserve">Patient List</t>
  </si>
  <si>
    <t xml:space="preserve">Directory of all patients.</t>
  </si>
  <si>
    <t xml:space="preserve">M03.01.01</t>
  </si>
  <si>
    <t xml:space="preserve">Patient list</t>
  </si>
  <si>
    <t xml:space="preserve">Table of name, dentist, last procedure, last visit, balance, status; search; pagination.</t>
  </si>
  <si>
    <t xml:space="preserve">M03.02</t>
  </si>
  <si>
    <t xml:space="preserve">Add Patient</t>
  </si>
  <si>
    <t xml:space="preserve">Register a new patient with duplicate checks.</t>
  </si>
  <si>
    <t xml:space="preserve">M03.02.01</t>
  </si>
  <si>
    <t xml:space="preserve">Add patient form</t>
  </si>
  <si>
    <t xml:space="preserve">Photo, patient information, contact details, tags and notes.</t>
  </si>
  <si>
    <t xml:space="preserve">M03.02.02</t>
  </si>
  <si>
    <t xml:space="preserve">Add success</t>
  </si>
  <si>
    <t xml:space="preserve">Confirmation after the record is created.</t>
  </si>
  <si>
    <t xml:space="preserve">M03.02.03</t>
  </si>
  <si>
    <t xml:space="preserve">Duplicate detection</t>
  </si>
  <si>
    <t xml:space="preserve">Compare the new entry with a matching existing record (% match).</t>
  </si>
  <si>
    <t xml:space="preserve">M03.02.04</t>
  </si>
  <si>
    <t xml:space="preserve">Merge records</t>
  </si>
  <si>
    <t xml:space="preserve">Confirm merging with the existing record.</t>
  </si>
  <si>
    <t xml:space="preserve">M03.02.05</t>
  </si>
  <si>
    <t xml:space="preserve">Merge success</t>
  </si>
  <si>
    <t xml:space="preserve">Confirmation after merging.</t>
  </si>
  <si>
    <t xml:space="preserve">M03.03</t>
  </si>
  <si>
    <t xml:space="preserve">Patient Details · Header</t>
  </si>
  <si>
    <t xml:space="preserve">Shared header and side panel on every patient tab.</t>
  </si>
  <si>
    <t xml:space="preserve">M03.03.01</t>
  </si>
  <si>
    <t xml:space="preserve">Patient summary</t>
  </si>
  <si>
    <t xml:space="preserve">ID, name, status, member since, age, DOB, gender, primary dentist, last visit.</t>
  </si>
  <si>
    <t xml:space="preserve">M03.03.02</t>
  </si>
  <si>
    <t xml:space="preserve">Quick actions</t>
  </si>
  <si>
    <t xml:space="preserve">Message, Book appointment, Print information, Update, More action.</t>
  </si>
  <si>
    <t xml:space="preserve">M03.03.03</t>
  </si>
  <si>
    <t xml:space="preserve">Outstanding balance</t>
  </si>
  <si>
    <t xml:space="preserve">Balance and last payment; Add payment; View statement.</t>
  </si>
  <si>
    <t xml:space="preserve">M03.03.04</t>
  </si>
  <si>
    <t xml:space="preserve">Recent activity</t>
  </si>
  <si>
    <t xml:space="preserve">Audit feed of changes to the patient record.</t>
  </si>
  <si>
    <t xml:space="preserve">M03.04</t>
  </si>
  <si>
    <t xml:space="preserve">General</t>
  </si>
  <si>
    <t xml:space="preserve">Demographics and admin details.</t>
  </si>
  <si>
    <t xml:space="preserve">M03.04.01</t>
  </si>
  <si>
    <t xml:space="preserve">View general info</t>
  </si>
  <si>
    <t xml:space="preserve">Contact, emergency contact, other info, data-privacy consent, insurance, membership, notes.</t>
  </si>
  <si>
    <t xml:space="preserve">M03.04.02</t>
  </si>
  <si>
    <t xml:space="preserve">Edit general info</t>
  </si>
  <si>
    <t xml:space="preserve">Edit mode for the General tab.</t>
  </si>
  <si>
    <t xml:space="preserve">M03.05</t>
  </si>
  <si>
    <t xml:space="preserve">Medical History</t>
  </si>
  <si>
    <t xml:space="preserve">Health questionnaire.</t>
  </si>
  <si>
    <t xml:space="preserve">M03.05.01</t>
  </si>
  <si>
    <t xml:space="preserve">View medical history</t>
  </si>
  <si>
    <t xml:space="preserve">Answers to medical questions; last reviewed; Mark as reviewed.</t>
  </si>
  <si>
    <t xml:space="preserve">M03.05.02</t>
  </si>
  <si>
    <t xml:space="preserve">Edit medical history</t>
  </si>
  <si>
    <t xml:space="preserve">Edit mode for medical history answers.</t>
  </si>
  <si>
    <t xml:space="preserve">M03.06</t>
  </si>
  <si>
    <t xml:space="preserve">Dental Record Chart</t>
  </si>
  <si>
    <t xml:space="preserve">Odontogram of tooth conditions and findings.</t>
  </si>
  <si>
    <t xml:space="preserve">M03.06.01</t>
  </si>
  <si>
    <t xml:space="preserve">Chart · collapsed</t>
  </si>
  <si>
    <t xml:space="preserve">Chart with the findings summary collapsed.</t>
  </si>
  <si>
    <t xml:space="preserve">M03.06.02</t>
  </si>
  <si>
    <t xml:space="preserve">Chart · expanded</t>
  </si>
  <si>
    <t xml:space="preserve">Chart with the summary of conditions per tooth expanded.</t>
  </si>
  <si>
    <t xml:space="preserve">M03.06.03</t>
  </si>
  <si>
    <t xml:space="preserve">Full-screen chart</t>
  </si>
  <si>
    <t xml:space="preserve">Distraction-free chart editing.</t>
  </si>
  <si>
    <t xml:space="preserve">M03.07</t>
  </si>
  <si>
    <t xml:space="preserve">Transaction Record</t>
  </si>
  <si>
    <t xml:space="preserve">Billable procedures and purchases.</t>
  </si>
  <si>
    <t xml:space="preserve">M03.07.01</t>
  </si>
  <si>
    <t xml:space="preserve">Transaction list</t>
  </si>
  <si>
    <t xml:space="preserve">Filter by All / Paid / Unpaid / Partial / Cancelled; date range; pagination.</t>
  </si>
  <si>
    <t xml:space="preserve">M03.07.02</t>
  </si>
  <si>
    <t xml:space="preserve">Add transaction · type</t>
  </si>
  <si>
    <t xml:space="preserve">Choose the transaction type (Procedure, Purchase item).</t>
  </si>
  <si>
    <t xml:space="preserve">M03.07.03</t>
  </si>
  <si>
    <t xml:space="preserve">Add transaction · procedure</t>
  </si>
  <si>
    <t xml:space="preserve">Enter procedure line items.</t>
  </si>
  <si>
    <t xml:space="preserve">M03.08</t>
  </si>
  <si>
    <t xml:space="preserve">Statement of Account</t>
  </si>
  <si>
    <t xml:space="preserve">Ledger of charges and payments.</t>
  </si>
  <si>
    <t xml:space="preserve">M03.08.01</t>
  </si>
  <si>
    <t xml:space="preserve">Statement of account</t>
  </si>
  <si>
    <t xml:space="preserve">Date range ledger with amount, payments and running balance; Print.</t>
  </si>
  <si>
    <t xml:space="preserve">M03.09</t>
  </si>
  <si>
    <t xml:space="preserve">Docs</t>
  </si>
  <si>
    <t xml:space="preserve">Clinical and legal documents.</t>
  </si>
  <si>
    <t xml:space="preserve">M03.09.01</t>
  </si>
  <si>
    <t xml:space="preserve">Document list</t>
  </si>
  <si>
    <t xml:space="preserve">Table of documents with type filter.</t>
  </si>
  <si>
    <t xml:space="preserve">M03.09.02</t>
  </si>
  <si>
    <t xml:space="preserve">Row actions menu</t>
  </si>
  <si>
    <t xml:space="preserve">Per-document actions.</t>
  </si>
  <si>
    <t xml:space="preserve">M03.09.03</t>
  </si>
  <si>
    <t xml:space="preserve">Add document · choose type</t>
  </si>
  <si>
    <t xml:space="preserve">Pick Prescription, Dental Certificate, Informed Consent, Privacy Notice, Upload or Custom.</t>
  </si>
  <si>
    <t xml:space="preserve">M03.09.04</t>
  </si>
  <si>
    <t xml:space="preserve">Prescription</t>
  </si>
  <si>
    <t xml:space="preserve">Medicines and dosage on the clinic Rx letterhead.</t>
  </si>
  <si>
    <t xml:space="preserve">M03.09.05</t>
  </si>
  <si>
    <t xml:space="preserve">Dental certificate</t>
  </si>
  <si>
    <t xml:space="preserve">Certify an exam or procedure for school or work.</t>
  </si>
  <si>
    <t xml:space="preserve">M03.09.06</t>
  </si>
  <si>
    <t xml:space="preserve">Informed consent</t>
  </si>
  <si>
    <t xml:space="preserve">Record patient consent before a procedure.</t>
  </si>
  <si>
    <t xml:space="preserve">M03.09.07</t>
  </si>
  <si>
    <t xml:space="preserve">Privacy notice &amp; consent</t>
  </si>
  <si>
    <t xml:space="preserve">Data-privacy notice with tap-to-sign and signed states.</t>
  </si>
  <si>
    <t xml:space="preserve">M03.09.08</t>
  </si>
  <si>
    <t xml:space="preserve">Upload document</t>
  </si>
  <si>
    <t xml:space="preserve">Attach a scan, x-ray or PDF.</t>
  </si>
  <si>
    <t xml:space="preserve">M03.09.09</t>
  </si>
  <si>
    <t xml:space="preserve">Custom document</t>
  </si>
  <si>
    <t xml:space="preserve">Free-form document on the clinic letterhead.</t>
  </si>
  <si>
    <t xml:space="preserve">M03.10</t>
  </si>
  <si>
    <t xml:space="preserve">Images</t>
  </si>
  <si>
    <t xml:space="preserve">Clinical photos and albums.</t>
  </si>
  <si>
    <t xml:space="preserve">M03.10.01</t>
  </si>
  <si>
    <t xml:space="preserve">Photos</t>
  </si>
  <si>
    <t xml:space="preserve">Photo grid including the empty state.</t>
  </si>
  <si>
    <t xml:space="preserve">M03.10.02</t>
  </si>
  <si>
    <t xml:space="preserve">Upload photos</t>
  </si>
  <si>
    <t xml:space="preserve">Upload new photos (empty and filled states).</t>
  </si>
  <si>
    <t xml:space="preserve">M03.10.03</t>
  </si>
  <si>
    <t xml:space="preserve">Albums</t>
  </si>
  <si>
    <t xml:space="preserve">Group photos into albums.</t>
  </si>
  <si>
    <t xml:space="preserve">M03.10.04</t>
  </si>
  <si>
    <t xml:space="preserve">Album detail</t>
  </si>
  <si>
    <t xml:space="preserve">View an album; add photos from patient photos or upload new.</t>
  </si>
  <si>
    <t xml:space="preserve">M03.10.05</t>
  </si>
  <si>
    <t xml:space="preserve">Photo viewer</t>
  </si>
  <si>
    <t xml:space="preserve">Full-size viewer with edit details and delete confirmation.</t>
  </si>
  <si>
    <t xml:space="preserve">Exportable reports for audits, outreach and payouts.</t>
  </si>
  <si>
    <t xml:space="preserve">M04.01</t>
  </si>
  <si>
    <t xml:space="preserve">Patients Report</t>
  </si>
  <si>
    <t xml:space="preserve">Filter patient records and export them.</t>
  </si>
  <si>
    <t xml:space="preserve">M04.01.01</t>
  </si>
  <si>
    <t xml:space="preserve">Filters &amp; dentist selection</t>
  </si>
  <si>
    <t xml:space="preserve">Empty state with filters and dentist dropdown.</t>
  </si>
  <si>
    <t xml:space="preserve">M04.01.02</t>
  </si>
  <si>
    <t xml:space="preserve">Patient details report</t>
  </si>
  <si>
    <t xml:space="preserve">Age, gender, insurance, effective date, status, tag.</t>
  </si>
  <si>
    <t xml:space="preserve">M04.01.03</t>
  </si>
  <si>
    <t xml:space="preserve">Procedure report</t>
  </si>
  <si>
    <t xml:space="preserve">Procedures done per patient by date.</t>
  </si>
  <si>
    <t xml:space="preserve">M04.01.04</t>
  </si>
  <si>
    <t xml:space="preserve">Tooth condition report</t>
  </si>
  <si>
    <t xml:space="preserve">Findings per tooth number.</t>
  </si>
  <si>
    <t xml:space="preserve">M04.01.05</t>
  </si>
  <si>
    <t xml:space="preserve">Filter columns</t>
  </si>
  <si>
    <t xml:space="preserve">Choose which columns to show and export.</t>
  </si>
  <si>
    <t xml:space="preserve">M04.02</t>
  </si>
  <si>
    <t xml:space="preserve">Commission Report</t>
  </si>
  <si>
    <t xml:space="preserve">Dentist commission from patient transactions.</t>
  </si>
  <si>
    <t xml:space="preserve">M04.02.01</t>
  </si>
  <si>
    <t xml:space="preserve">Commission report</t>
  </si>
  <si>
    <t xml:space="preserve">Transactions with total, paid and commission; Pending / Available / Paid out; page totals.</t>
  </si>
  <si>
    <t xml:space="preserve">The dentist's own account settings.</t>
  </si>
  <si>
    <t xml:space="preserve">M05.01</t>
  </si>
  <si>
    <t xml:space="preserve">Profile</t>
  </si>
  <si>
    <t xml:space="preserve">Personal and login details.</t>
  </si>
  <si>
    <t xml:space="preserve">M05.01.01</t>
  </si>
  <si>
    <t xml:space="preserve">Profile details</t>
  </si>
  <si>
    <t xml:space="preserve">Profile, email, mobile number and password overview.</t>
  </si>
  <si>
    <t xml:space="preserve">M05.01.02</t>
  </si>
  <si>
    <t xml:space="preserve">Update profile</t>
  </si>
  <si>
    <t xml:space="preserve">Edit name and profile photo.</t>
  </si>
  <si>
    <t xml:space="preserve">M05.01.03</t>
  </si>
  <si>
    <t xml:space="preserve">Update email</t>
  </si>
  <si>
    <t xml:space="preserve">Change email address.</t>
  </si>
  <si>
    <t xml:space="preserve">M05.01.04</t>
  </si>
  <si>
    <t xml:space="preserve">Verify email</t>
  </si>
  <si>
    <t xml:space="preserve">Enter the verification code for a new email.</t>
  </si>
  <si>
    <t xml:space="preserve">M05.01.05</t>
  </si>
  <si>
    <t xml:space="preserve">Update mobile number</t>
  </si>
  <si>
    <t xml:space="preserve">Change mobile number.</t>
  </si>
  <si>
    <t xml:space="preserve">M05.01.06</t>
  </si>
  <si>
    <t xml:space="preserve">Update password</t>
  </si>
  <si>
    <t xml:space="preserve">Change password.</t>
  </si>
  <si>
    <t xml:space="preserve">M05.02</t>
  </si>
  <si>
    <t xml:space="preserve">My Signature</t>
  </si>
  <si>
    <t xml:space="preserve">E-signature used on documents.</t>
  </si>
  <si>
    <t xml:space="preserve">M05.02.01</t>
  </si>
  <si>
    <t xml:space="preserve">Signature · empty</t>
  </si>
  <si>
    <t xml:space="preserve">No signature saved yet.</t>
  </si>
  <si>
    <t xml:space="preserve">M05.02.02</t>
  </si>
  <si>
    <t xml:space="preserve">Signature · saved</t>
  </si>
  <si>
    <t xml:space="preserve">Saved signature preview.</t>
  </si>
  <si>
    <t xml:space="preserve">M05.02.03</t>
  </si>
  <si>
    <t xml:space="preserve">Draw signature</t>
  </si>
  <si>
    <t xml:space="preserve">Draw a signature in a modal.</t>
  </si>
  <si>
    <t xml:space="preserve">M05.02.04</t>
  </si>
  <si>
    <t xml:space="preserve">Upload signature</t>
  </si>
  <si>
    <t xml:space="preserve">Upload a signature image.</t>
  </si>
  <si>
    <t xml:space="preserve">M05.02.05</t>
  </si>
  <si>
    <t xml:space="preserve">Remove signature</t>
  </si>
  <si>
    <t xml:space="preserve">Confirm removing the signature.</t>
  </si>
  <si>
    <t xml:space="preserve">Screen Inventory (Figma frames)</t>
  </si>
  <si>
    <t xml:space="preserve">Source: Figma file 'Dentist' (https://www.figma.com/design/dAKa9xPhXAuRKat5jGS8Hx/Dentist), Page 1, as of Oct 11, 2026. One row per frame; modal states inside the 'Appointment details modal · All statuses' section are listed individually.</t>
  </si>
  <si>
    <t xml:space="preserve">#</t>
  </si>
  <si>
    <t xml:space="preserve">Sub-module ID</t>
  </si>
  <si>
    <t xml:space="preserve">Feature ID</t>
  </si>
  <si>
    <t xml:space="preserve">Figma frame name</t>
  </si>
  <si>
    <t xml:space="preserve">Dashboard — Dentist · Overview</t>
  </si>
  <si>
    <t xml:space="preserve">Appointments - Day</t>
  </si>
  <si>
    <t xml:space="preserve">Appointments - Day · Date filter</t>
  </si>
  <si>
    <t xml:space="preserve">Appointments - Week</t>
  </si>
  <si>
    <t xml:space="preserve">Appointments - Month</t>
  </si>
  <si>
    <t xml:space="preserve">Appointments - Day · Details · Modal</t>
  </si>
  <si>
    <t xml:space="preserve">Details modal · Pending</t>
  </si>
  <si>
    <t xml:space="preserve">Details modal · Confirmed</t>
  </si>
  <si>
    <t xml:space="preserve">Details modal · Rescheduled</t>
  </si>
  <si>
    <t xml:space="preserve">Details modal · Cancelled</t>
  </si>
  <si>
    <t xml:space="preserve">Details modal · Completed</t>
  </si>
  <si>
    <t xml:space="preserve">Details modal · Reschedule</t>
  </si>
  <si>
    <t xml:space="preserve">Cancel dialog</t>
  </si>
  <si>
    <t xml:space="preserve">Details modal · Confirmed · More action open</t>
  </si>
  <si>
    <t xml:space="preserve">Details modal · Change procedure · Multi-select</t>
  </si>
  <si>
    <t xml:space="preserve">Details modal · Last visit (expanded)</t>
  </si>
  <si>
    <t xml:space="preserve">Appointments - Add appointment · Select patient (1 empty)</t>
  </si>
  <si>
    <t xml:space="preserve">Appointments - Add appointment · Select patient (2 dropdown)</t>
  </si>
  <si>
    <t xml:space="preserve">Appointments - Add appointment · Select patient (3 selected)</t>
  </si>
  <si>
    <t xml:space="preserve">Appointments - Add appointment</t>
  </si>
  <si>
    <t xml:space="preserve">Appointments - Add appointment · All procedures</t>
  </si>
  <si>
    <t xml:space="preserve">Appointments - Add appointment · Review &amp; confirm</t>
  </si>
  <si>
    <t xml:space="preserve">Appointments - Add appointment · Booked</t>
  </si>
  <si>
    <t xml:space="preserve">Appointments — Calendar - Requests drawer</t>
  </si>
  <si>
    <t xml:space="preserve">Appointments — Calendar - Requests drawer · View details</t>
  </si>
  <si>
    <t xml:space="preserve">Patients — List</t>
  </si>
  <si>
    <t xml:space="preserve">Patients — Add patient · Modal · v2 (field list) · Desktop</t>
  </si>
  <si>
    <t xml:space="preserve">Patients — Add patient · Success · Desktop</t>
  </si>
  <si>
    <t xml:space="preserve">Patients — Add patient · Duplicate found · v1 (comparison) · Desktop</t>
  </si>
  <si>
    <t xml:space="preserve">Patients — Add patient · Merge confirmation · Desktop</t>
  </si>
  <si>
    <t xml:space="preserve">Patients — Add patient · Merge success · Desktop</t>
  </si>
  <si>
    <t xml:space="preserve">Patients — Details · General 1 · Desktop</t>
  </si>
  <si>
    <t xml:space="preserve">Patients — Details · General 1 · Edit · Desktop</t>
  </si>
  <si>
    <t xml:space="preserve">Patients — Details · Medical History · Layout C · Desktop</t>
  </si>
  <si>
    <t xml:space="preserve">Patients — Details · Medical History · Layout C · Edit · Desktop</t>
  </si>
  <si>
    <t xml:space="preserve">Patients — Details · Dental Record Chart · Many findings · Collapsed · Desktop</t>
  </si>
  <si>
    <t xml:space="preserve">Patients — Details · Dental Record Chart · Many findings · Expanded · Desktop</t>
  </si>
  <si>
    <t xml:space="preserve">Patients — Dental Record Chart · Full screen · Desktop</t>
  </si>
  <si>
    <t xml:space="preserve">Patients — Details · Transaction Record · Desktop</t>
  </si>
  <si>
    <t xml:space="preserve">Patients — Details · Transaction Record · Add transaction · Transaction type · Layout B · Desktop</t>
  </si>
  <si>
    <t xml:space="preserve">Patients — Details · Transaction Record · Add transaction · Procedure · Desktop</t>
  </si>
  <si>
    <t xml:space="preserve">Patients — Details · Statement of Account · Layout B · Desktop</t>
  </si>
  <si>
    <t xml:space="preserve">Patients — Details · Docs · Layout C · Desktop</t>
  </si>
  <si>
    <t xml:space="preserve">Patients — Details · Docs · Layout C · Row menu · Desktop</t>
  </si>
  <si>
    <t xml:space="preserve">Patients — Docs · Add document · 1 Choose type · Desktop</t>
  </si>
  <si>
    <t xml:space="preserve">Patients — Docs · Add document · 2 Prescription · Desktop</t>
  </si>
  <si>
    <t xml:space="preserve">Patients — Docs · Add document · 3 Dental Certificate · Desktop</t>
  </si>
  <si>
    <t xml:space="preserve">Patients — Docs · Add document · 4 Informed Consent · Desktop</t>
  </si>
  <si>
    <t xml:space="preserve">Patients — Docs · Add document · 4b Privacy Notice and Consent · Desktop</t>
  </si>
  <si>
    <t xml:space="preserve">Patients — Docs · Add document · 4c Privacy Notice and Consent · Signed · Desktop</t>
  </si>
  <si>
    <t xml:space="preserve">Patients — Docs · Add document · 4d Privacy Notice · Tap to sign · Desktop</t>
  </si>
  <si>
    <t xml:space="preserve">Patients — Docs · Add document · 5 Upload · Desktop</t>
  </si>
  <si>
    <t xml:space="preserve">Patients — Docs · Add document · 6 Custom · Desktop</t>
  </si>
  <si>
    <t xml:space="preserve">Patients — Details · Images · Photos · Empty · Desktop</t>
  </si>
  <si>
    <t xml:space="preserve">Patients — Details · Images · Desktop</t>
  </si>
  <si>
    <t xml:space="preserve">Patients — Details · Images · Upload photos · Empty · Desktop</t>
  </si>
  <si>
    <t xml:space="preserve">Patients — Details · Images · Upload photos · Desktop</t>
  </si>
  <si>
    <t xml:space="preserve">Patients — Details · Images · Albums · Desktop</t>
  </si>
  <si>
    <t xml:space="preserve">Patients — Details · Images · Album detail · Desktop</t>
  </si>
  <si>
    <t xml:space="preserve">Patients — Details · Images · Album detail · Add photos · Desktop</t>
  </si>
  <si>
    <t xml:space="preserve">Patients — Details · Images · Album detail · Add photos · Upload new · Desktop</t>
  </si>
  <si>
    <t xml:space="preserve">Patients — Details · Images · Photo viewer · Desktop</t>
  </si>
  <si>
    <t xml:space="preserve">Patients — Details · Images · Photo viewer · Edit details · Desktop</t>
  </si>
  <si>
    <t xml:space="preserve">Patients — Details · Images · Photo viewer · Delete confirmation · Desktop</t>
  </si>
  <si>
    <t xml:space="preserve">Reports — Patients Report · Patient Details · Empty · Dentist dropdown</t>
  </si>
  <si>
    <t xml:space="preserve">Reports — Patients Report · Patient Details · Results</t>
  </si>
  <si>
    <t xml:space="preserve">Reports — Patients Report · Procedure · Results</t>
  </si>
  <si>
    <t xml:space="preserve">Reports — Patients Report · Tooth Condition · Results</t>
  </si>
  <si>
    <t xml:space="preserve">Reports — Patients Report · Patient Details · Results · Filter columns</t>
  </si>
  <si>
    <t xml:space="preserve">Reports — Commission Report · Results</t>
  </si>
  <si>
    <t xml:space="preserve">Profile — Account · Profile</t>
  </si>
  <si>
    <t xml:space="preserve">Profile — Account · Modal · Update profile</t>
  </si>
  <si>
    <t xml:space="preserve">Profile — Account · Modal · Update email</t>
  </si>
  <si>
    <t xml:space="preserve">Profile — Account · Modal · Verify email address</t>
  </si>
  <si>
    <t xml:space="preserve">Profile — Account · Modal · Update mobile number</t>
  </si>
  <si>
    <t xml:space="preserve">Profile — Account · Modal · Update password</t>
  </si>
  <si>
    <t xml:space="preserve">Profile — Account · My signature · Empty</t>
  </si>
  <si>
    <t xml:space="preserve">Profile — Account · My signature · Saved</t>
  </si>
  <si>
    <t xml:space="preserve">Profile — Account · My signature · Draw modal</t>
  </si>
  <si>
    <t xml:space="preserve">Profile — Account · My signature · Upload modal</t>
  </si>
  <si>
    <t xml:space="preserve">Profile — Account · My signature · Remove confirmation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</si>
</sst>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EDE2F6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2F6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DE2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EDE2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igma.com/design/dAKa9xPhXAuRKat5jGS8Hx/Dentist?node-id=10-121173" TargetMode="External"/><Relationship Id="rId2" Type="http://schemas.openxmlformats.org/officeDocument/2006/relationships/hyperlink" Target="https://www.figma.com/design/dAKa9xPhXAuRKat5jGS8Hx/Dentist?node-id=10-96407" TargetMode="External"/><Relationship Id="rId3" Type="http://schemas.openxmlformats.org/officeDocument/2006/relationships/hyperlink" Target="https://www.figma.com/design/dAKa9xPhXAuRKat5jGS8Hx/Dentist?node-id=10-99055" TargetMode="External"/><Relationship Id="rId4" Type="http://schemas.openxmlformats.org/officeDocument/2006/relationships/hyperlink" Target="https://www.figma.com/design/dAKa9xPhXAuRKat5jGS8Hx/Dentist?node-id=10-97339" TargetMode="External"/><Relationship Id="rId5" Type="http://schemas.openxmlformats.org/officeDocument/2006/relationships/hyperlink" Target="https://www.figma.com/design/dAKa9xPhXAuRKat5jGS8Hx/Dentist?node-id=10-98126" TargetMode="External"/><Relationship Id="rId6" Type="http://schemas.openxmlformats.org/officeDocument/2006/relationships/hyperlink" Target="https://www.figma.com/design/dAKa9xPhXAuRKat5jGS8Hx/Dentist?node-id=10-99623" TargetMode="External"/><Relationship Id="rId7" Type="http://schemas.openxmlformats.org/officeDocument/2006/relationships/hyperlink" Target="https://www.figma.com/design/dAKa9xPhXAuRKat5jGS8Hx/Dentist?node-id=10-100186" TargetMode="External"/><Relationship Id="rId8" Type="http://schemas.openxmlformats.org/officeDocument/2006/relationships/hyperlink" Target="https://www.figma.com/design/dAKa9xPhXAuRKat5jGS8Hx/Dentist?node-id=10-100745" TargetMode="External"/><Relationship Id="rId9" Type="http://schemas.openxmlformats.org/officeDocument/2006/relationships/hyperlink" Target="https://www.figma.com/design/dAKa9xPhXAuRKat5jGS8Hx/Dentist?node-id=10-100985" TargetMode="External"/><Relationship Id="rId10" Type="http://schemas.openxmlformats.org/officeDocument/2006/relationships/hyperlink" Target="https://www.figma.com/design/dAKa9xPhXAuRKat5jGS8Hx/Dentist?node-id=10-101042" TargetMode="External"/><Relationship Id="rId11" Type="http://schemas.openxmlformats.org/officeDocument/2006/relationships/hyperlink" Target="https://www.figma.com/design/dAKa9xPhXAuRKat5jGS8Hx/Dentist?node-id=10-101149" TargetMode="External"/><Relationship Id="rId12" Type="http://schemas.openxmlformats.org/officeDocument/2006/relationships/hyperlink" Target="https://www.figma.com/design/dAKa9xPhXAuRKat5jGS8Hx/Dentist?node-id=10-100853" TargetMode="External"/><Relationship Id="rId13" Type="http://schemas.openxmlformats.org/officeDocument/2006/relationships/hyperlink" Target="https://www.figma.com/design/dAKa9xPhXAuRKat5jGS8Hx/Dentist?node-id=10-102312" TargetMode="External"/><Relationship Id="rId14" Type="http://schemas.openxmlformats.org/officeDocument/2006/relationships/hyperlink" Target="https://www.figma.com/design/dAKa9xPhXAuRKat5jGS8Hx/Dentist?node-id=10-101239" TargetMode="External"/><Relationship Id="rId15" Type="http://schemas.openxmlformats.org/officeDocument/2006/relationships/hyperlink" Target="https://www.figma.com/design/dAKa9xPhXAuRKat5jGS8Hx/Dentist?node-id=10-101711" TargetMode="External"/><Relationship Id="rId16" Type="http://schemas.openxmlformats.org/officeDocument/2006/relationships/hyperlink" Target="https://www.figma.com/design/dAKa9xPhXAuRKat5jGS8Hx/Dentist?node-id=10-104402" TargetMode="External"/><Relationship Id="rId17" Type="http://schemas.openxmlformats.org/officeDocument/2006/relationships/hyperlink" Target="https://www.figma.com/design/dAKa9xPhXAuRKat5jGS8Hx/Dentist?node-id=10-102813" TargetMode="External"/><Relationship Id="rId18" Type="http://schemas.openxmlformats.org/officeDocument/2006/relationships/hyperlink" Target="https://www.figma.com/design/dAKa9xPhXAuRKat5jGS8Hx/Dentist?node-id=10-95644" TargetMode="External"/><Relationship Id="rId19" Type="http://schemas.openxmlformats.org/officeDocument/2006/relationships/hyperlink" Target="https://www.figma.com/design/dAKa9xPhXAuRKat5jGS8Hx/Dentist?node-id=10-104968" TargetMode="External"/><Relationship Id="rId20" Type="http://schemas.openxmlformats.org/officeDocument/2006/relationships/hyperlink" Target="https://www.figma.com/design/dAKa9xPhXAuRKat5jGS8Hx/Dentist?node-id=10-105822" TargetMode="External"/><Relationship Id="rId21" Type="http://schemas.openxmlformats.org/officeDocument/2006/relationships/hyperlink" Target="https://www.figma.com/design/dAKa9xPhXAuRKat5jGS8Hx/Dentist?node-id=10-121462" TargetMode="External"/><Relationship Id="rId22" Type="http://schemas.openxmlformats.org/officeDocument/2006/relationships/hyperlink" Target="https://www.figma.com/design/dAKa9xPhXAuRKat5jGS8Hx/Dentist?node-id=10-122060" TargetMode="External"/><Relationship Id="rId23" Type="http://schemas.openxmlformats.org/officeDocument/2006/relationships/hyperlink" Target="https://www.figma.com/design/dAKa9xPhXAuRKat5jGS8Hx/Dentist?node-id=10-122505" TargetMode="External"/><Relationship Id="rId24" Type="http://schemas.openxmlformats.org/officeDocument/2006/relationships/hyperlink" Target="https://www.figma.com/design/dAKa9xPhXAuRKat5jGS8Hx/Dentist?node-id=10-123028" TargetMode="External"/><Relationship Id="rId25" Type="http://schemas.openxmlformats.org/officeDocument/2006/relationships/hyperlink" Target="https://www.figma.com/design/dAKa9xPhXAuRKat5jGS8Hx/Dentist?node-id=10-123582" TargetMode="External"/><Relationship Id="rId26" Type="http://schemas.openxmlformats.org/officeDocument/2006/relationships/hyperlink" Target="https://www.figma.com/design/dAKa9xPhXAuRKat5jGS8Hx/Dentist?node-id=10-106215" TargetMode="External"/><Relationship Id="rId27" Type="http://schemas.openxmlformats.org/officeDocument/2006/relationships/hyperlink" Target="https://www.figma.com/design/dAKa9xPhXAuRKat5jGS8Hx/Dentist?node-id=10-106502" TargetMode="External"/><Relationship Id="rId28" Type="http://schemas.openxmlformats.org/officeDocument/2006/relationships/hyperlink" Target="https://www.figma.com/design/dAKa9xPhXAuRKat5jGS8Hx/Dentist?node-id=10-106792" TargetMode="External"/><Relationship Id="rId29" Type="http://schemas.openxmlformats.org/officeDocument/2006/relationships/hyperlink" Target="https://www.figma.com/design/dAKa9xPhXAuRKat5jGS8Hx/Dentist?node-id=10-107090" TargetMode="External"/><Relationship Id="rId30" Type="http://schemas.openxmlformats.org/officeDocument/2006/relationships/hyperlink" Target="https://www.figma.com/design/dAKa9xPhXAuRKat5jGS8Hx/Dentist?node-id=10-107990" TargetMode="External"/><Relationship Id="rId31" Type="http://schemas.openxmlformats.org/officeDocument/2006/relationships/hyperlink" Target="https://www.figma.com/design/dAKa9xPhXAuRKat5jGS8Hx/Dentist?node-id=10-107421" TargetMode="External"/><Relationship Id="rId32" Type="http://schemas.openxmlformats.org/officeDocument/2006/relationships/hyperlink" Target="https://www.figma.com/design/dAKa9xPhXAuRKat5jGS8Hx/Dentist?node-id=10-108486" TargetMode="External"/><Relationship Id="rId33" Type="http://schemas.openxmlformats.org/officeDocument/2006/relationships/hyperlink" Target="https://www.figma.com/design/dAKa9xPhXAuRKat5jGS8Hx/Dentist?node-id=10-108813" TargetMode="External"/><Relationship Id="rId34" Type="http://schemas.openxmlformats.org/officeDocument/2006/relationships/hyperlink" Target="https://www.figma.com/design/dAKa9xPhXAuRKat5jGS8Hx/Dentist?node-id=10-124034" TargetMode="External"/><Relationship Id="rId35" Type="http://schemas.openxmlformats.org/officeDocument/2006/relationships/hyperlink" Target="https://www.figma.com/design/dAKa9xPhXAuRKat5jGS8Hx/Dentist?node-id=10-124502" TargetMode="External"/><Relationship Id="rId36" Type="http://schemas.openxmlformats.org/officeDocument/2006/relationships/hyperlink" Target="https://www.figma.com/design/dAKa9xPhXAuRKat5jGS8Hx/Dentist?node-id=10-109264" TargetMode="External"/><Relationship Id="rId37" Type="http://schemas.openxmlformats.org/officeDocument/2006/relationships/hyperlink" Target="https://www.figma.com/design/dAKa9xPhXAuRKat5jGS8Hx/Dentist?node-id=10-109629" TargetMode="External"/><Relationship Id="rId38" Type="http://schemas.openxmlformats.org/officeDocument/2006/relationships/hyperlink" Target="https://www.figma.com/design/dAKa9xPhXAuRKat5jGS8Hx/Dentist?node-id=10-113892" TargetMode="External"/><Relationship Id="rId39" Type="http://schemas.openxmlformats.org/officeDocument/2006/relationships/hyperlink" Target="https://www.figma.com/design/dAKa9xPhXAuRKat5jGS8Hx/Dentist?node-id=10-109960" TargetMode="External"/><Relationship Id="rId40" Type="http://schemas.openxmlformats.org/officeDocument/2006/relationships/hyperlink" Target="https://www.figma.com/design/dAKa9xPhXAuRKat5jGS8Hx/Dentist?node-id=10-110367" TargetMode="External"/><Relationship Id="rId41" Type="http://schemas.openxmlformats.org/officeDocument/2006/relationships/hyperlink" Target="https://www.figma.com/design/dAKa9xPhXAuRKat5jGS8Hx/Dentist?node-id=10-110800" TargetMode="External"/><Relationship Id="rId42" Type="http://schemas.openxmlformats.org/officeDocument/2006/relationships/hyperlink" Target="https://www.figma.com/design/dAKa9xPhXAuRKat5jGS8Hx/Dentist?node-id=10-111261" TargetMode="External"/><Relationship Id="rId43" Type="http://schemas.openxmlformats.org/officeDocument/2006/relationships/hyperlink" Target="https://www.figma.com/design/dAKa9xPhXAuRKat5jGS8Hx/Dentist?node-id=10-112428" TargetMode="External"/><Relationship Id="rId44" Type="http://schemas.openxmlformats.org/officeDocument/2006/relationships/hyperlink" Target="https://www.figma.com/design/dAKa9xPhXAuRKat5jGS8Hx/Dentist?node-id=10-111620" TargetMode="External"/><Relationship Id="rId45" Type="http://schemas.openxmlformats.org/officeDocument/2006/relationships/hyperlink" Target="https://www.figma.com/design/dAKa9xPhXAuRKat5jGS8Hx/Dentist?node-id=10-111992" TargetMode="External"/><Relationship Id="rId46" Type="http://schemas.openxmlformats.org/officeDocument/2006/relationships/hyperlink" Target="https://www.figma.com/design/dAKa9xPhXAuRKat5jGS8Hx/Dentist?node-id=10-116934" TargetMode="External"/><Relationship Id="rId47" Type="http://schemas.openxmlformats.org/officeDocument/2006/relationships/hyperlink" Target="https://www.figma.com/design/dAKa9xPhXAuRKat5jGS8Hx/Dentist?node-id=10-116635" TargetMode="External"/><Relationship Id="rId48" Type="http://schemas.openxmlformats.org/officeDocument/2006/relationships/hyperlink" Target="https://www.figma.com/design/dAKa9xPhXAuRKat5jGS8Hx/Dentist?node-id=10-114548" TargetMode="External"/><Relationship Id="rId49" Type="http://schemas.openxmlformats.org/officeDocument/2006/relationships/hyperlink" Target="https://www.figma.com/design/dAKa9xPhXAuRKat5jGS8Hx/Dentist?node-id=10-114859" TargetMode="External"/><Relationship Id="rId50" Type="http://schemas.openxmlformats.org/officeDocument/2006/relationships/hyperlink" Target="https://www.figma.com/design/dAKa9xPhXAuRKat5jGS8Hx/Dentist?node-id=10-116224" TargetMode="External"/><Relationship Id="rId51" Type="http://schemas.openxmlformats.org/officeDocument/2006/relationships/hyperlink" Target="https://www.figma.com/design/dAKa9xPhXAuRKat5jGS8Hx/Dentist?node-id=10-118026" TargetMode="External"/><Relationship Id="rId52" Type="http://schemas.openxmlformats.org/officeDocument/2006/relationships/hyperlink" Target="https://www.figma.com/design/dAKa9xPhXAuRKat5jGS8Hx/Dentist?node-id=10-118147" TargetMode="External"/><Relationship Id="rId53" Type="http://schemas.openxmlformats.org/officeDocument/2006/relationships/hyperlink" Target="https://www.figma.com/design/dAKa9xPhXAuRKat5jGS8Hx/Dentist?node-id=10-118442" TargetMode="External"/><Relationship Id="rId54" Type="http://schemas.openxmlformats.org/officeDocument/2006/relationships/hyperlink" Target="https://www.figma.com/design/dAKa9xPhXAuRKat5jGS8Hx/Dentist?node-id=10-118711" TargetMode="External"/><Relationship Id="rId55" Type="http://schemas.openxmlformats.org/officeDocument/2006/relationships/hyperlink" Target="https://www.figma.com/design/dAKa9xPhXAuRKat5jGS8Hx/Dentist?node-id=10-118993" TargetMode="External"/><Relationship Id="rId56" Type="http://schemas.openxmlformats.org/officeDocument/2006/relationships/hyperlink" Target="https://www.figma.com/design/dAKa9xPhXAuRKat5jGS8Hx/Dentist?node-id=10-119334" TargetMode="External"/><Relationship Id="rId57" Type="http://schemas.openxmlformats.org/officeDocument/2006/relationships/hyperlink" Target="https://www.figma.com/design/dAKa9xPhXAuRKat5jGS8Hx/Dentist?node-id=10-119708" TargetMode="External"/><Relationship Id="rId58" Type="http://schemas.openxmlformats.org/officeDocument/2006/relationships/hyperlink" Target="https://www.figma.com/design/dAKa9xPhXAuRKat5jGS8Hx/Dentist?node-id=10-119828" TargetMode="External"/><Relationship Id="rId59" Type="http://schemas.openxmlformats.org/officeDocument/2006/relationships/hyperlink" Target="https://www.figma.com/design/dAKa9xPhXAuRKat5jGS8Hx/Dentist?node-id=10-119985" TargetMode="External"/><Relationship Id="rId60" Type="http://schemas.openxmlformats.org/officeDocument/2006/relationships/hyperlink" Target="https://www.figma.com/design/dAKa9xPhXAuRKat5jGS8Hx/Dentist?node-id=10-120280" TargetMode="External"/><Relationship Id="rId61" Type="http://schemas.openxmlformats.org/officeDocument/2006/relationships/hyperlink" Target="https://www.figma.com/design/dAKa9xPhXAuRKat5jGS8Hx/Dentist?node-id=10-120136" TargetMode="External"/><Relationship Id="rId62" Type="http://schemas.openxmlformats.org/officeDocument/2006/relationships/hyperlink" Target="https://www.figma.com/design/dAKa9xPhXAuRKat5jGS8Hx/Dentist?node-id=10-120429" TargetMode="External"/><Relationship Id="rId63" Type="http://schemas.openxmlformats.org/officeDocument/2006/relationships/hyperlink" Target="https://www.figma.com/design/dAKa9xPhXAuRKat5jGS8Hx/Dentist?node-id=10-120602" TargetMode="External"/><Relationship Id="rId64" Type="http://schemas.openxmlformats.org/officeDocument/2006/relationships/hyperlink" Target="https://www.figma.com/design/dAKa9xPhXAuRKat5jGS8Hx/Dentist?node-id=10-120698" TargetMode="External"/><Relationship Id="rId65" Type="http://schemas.openxmlformats.org/officeDocument/2006/relationships/hyperlink" Target="https://www.figma.com/design/dAKa9xPhXAuRKat5jGS8Hx/Dentist?node-id=10-120809" TargetMode="External"/><Relationship Id="rId66" Type="http://schemas.openxmlformats.org/officeDocument/2006/relationships/hyperlink" Target="https://www.figma.com/design/dAKa9xPhXAuRKat5jGS8Hx/Dentist?node-id=10-120930" TargetMode="External"/><Relationship Id="rId67" Type="http://schemas.openxmlformats.org/officeDocument/2006/relationships/hyperlink" Target="https://www.figma.com/design/dAKa9xPhXAuRKat5jGS8Hx/Dentist?node-id=10-121052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figma.com/design/dAKa9xPhXAuRKat5jGS8Hx/Dentist?node-id=10-121173" TargetMode="External"/><Relationship Id="rId2" Type="http://schemas.openxmlformats.org/officeDocument/2006/relationships/hyperlink" Target="https://www.figma.com/design/dAKa9xPhXAuRKat5jGS8Hx/Dentist?node-id=10-96407" TargetMode="External"/><Relationship Id="rId3" Type="http://schemas.openxmlformats.org/officeDocument/2006/relationships/hyperlink" Target="https://www.figma.com/design/dAKa9xPhXAuRKat5jGS8Hx/Dentist?node-id=10-99055" TargetMode="External"/><Relationship Id="rId4" Type="http://schemas.openxmlformats.org/officeDocument/2006/relationships/hyperlink" Target="https://www.figma.com/design/dAKa9xPhXAuRKat5jGS8Hx/Dentist?node-id=10-97339" TargetMode="External"/><Relationship Id="rId5" Type="http://schemas.openxmlformats.org/officeDocument/2006/relationships/hyperlink" Target="https://www.figma.com/design/dAKa9xPhXAuRKat5jGS8Hx/Dentist?node-id=10-98126" TargetMode="External"/><Relationship Id="rId6" Type="http://schemas.openxmlformats.org/officeDocument/2006/relationships/hyperlink" Target="https://www.figma.com/design/dAKa9xPhXAuRKat5jGS8Hx/Dentist?node-id=10-99623" TargetMode="External"/><Relationship Id="rId7" Type="http://schemas.openxmlformats.org/officeDocument/2006/relationships/hyperlink" Target="https://www.figma.com/design/dAKa9xPhXAuRKat5jGS8Hx/Dentist?node-id=10-100186" TargetMode="External"/><Relationship Id="rId8" Type="http://schemas.openxmlformats.org/officeDocument/2006/relationships/hyperlink" Target="https://www.figma.com/design/dAKa9xPhXAuRKat5jGS8Hx/Dentist?node-id=10-100745" TargetMode="External"/><Relationship Id="rId9" Type="http://schemas.openxmlformats.org/officeDocument/2006/relationships/hyperlink" Target="https://www.figma.com/design/dAKa9xPhXAuRKat5jGS8Hx/Dentist?node-id=10-100985" TargetMode="External"/><Relationship Id="rId10" Type="http://schemas.openxmlformats.org/officeDocument/2006/relationships/hyperlink" Target="https://www.figma.com/design/dAKa9xPhXAuRKat5jGS8Hx/Dentist?node-id=10-101042" TargetMode="External"/><Relationship Id="rId11" Type="http://schemas.openxmlformats.org/officeDocument/2006/relationships/hyperlink" Target="https://www.figma.com/design/dAKa9xPhXAuRKat5jGS8Hx/Dentist?node-id=10-101149" TargetMode="External"/><Relationship Id="rId12" Type="http://schemas.openxmlformats.org/officeDocument/2006/relationships/hyperlink" Target="https://www.figma.com/design/dAKa9xPhXAuRKat5jGS8Hx/Dentist?node-id=10-100853" TargetMode="External"/><Relationship Id="rId13" Type="http://schemas.openxmlformats.org/officeDocument/2006/relationships/hyperlink" Target="https://www.figma.com/design/dAKa9xPhXAuRKat5jGS8Hx/Dentist?node-id=10-102312" TargetMode="External"/><Relationship Id="rId14" Type="http://schemas.openxmlformats.org/officeDocument/2006/relationships/hyperlink" Target="https://www.figma.com/design/dAKa9xPhXAuRKat5jGS8Hx/Dentist?node-id=10-101239" TargetMode="External"/><Relationship Id="rId15" Type="http://schemas.openxmlformats.org/officeDocument/2006/relationships/hyperlink" Target="https://www.figma.com/design/dAKa9xPhXAuRKat5jGS8Hx/Dentist?node-id=10-101711" TargetMode="External"/><Relationship Id="rId16" Type="http://schemas.openxmlformats.org/officeDocument/2006/relationships/hyperlink" Target="https://www.figma.com/design/dAKa9xPhXAuRKat5jGS8Hx/Dentist?node-id=10-104402" TargetMode="External"/><Relationship Id="rId17" Type="http://schemas.openxmlformats.org/officeDocument/2006/relationships/hyperlink" Target="https://www.figma.com/design/dAKa9xPhXAuRKat5jGS8Hx/Dentist?node-id=10-102813" TargetMode="External"/><Relationship Id="rId18" Type="http://schemas.openxmlformats.org/officeDocument/2006/relationships/hyperlink" Target="https://www.figma.com/design/dAKa9xPhXAuRKat5jGS8Hx/Dentist?node-id=10-95644" TargetMode="External"/><Relationship Id="rId19" Type="http://schemas.openxmlformats.org/officeDocument/2006/relationships/hyperlink" Target="https://www.figma.com/design/dAKa9xPhXAuRKat5jGS8Hx/Dentist?node-id=10-104968" TargetMode="External"/><Relationship Id="rId20" Type="http://schemas.openxmlformats.org/officeDocument/2006/relationships/hyperlink" Target="https://www.figma.com/design/dAKa9xPhXAuRKat5jGS8Hx/Dentist?node-id=10-105822" TargetMode="External"/><Relationship Id="rId21" Type="http://schemas.openxmlformats.org/officeDocument/2006/relationships/hyperlink" Target="https://www.figma.com/design/dAKa9xPhXAuRKat5jGS8Hx/Dentist?node-id=10-121462" TargetMode="External"/><Relationship Id="rId22" Type="http://schemas.openxmlformats.org/officeDocument/2006/relationships/hyperlink" Target="https://www.figma.com/design/dAKa9xPhXAuRKat5jGS8Hx/Dentist?node-id=10-122060" TargetMode="External"/><Relationship Id="rId23" Type="http://schemas.openxmlformats.org/officeDocument/2006/relationships/hyperlink" Target="https://www.figma.com/design/dAKa9xPhXAuRKat5jGS8Hx/Dentist?node-id=10-122505" TargetMode="External"/><Relationship Id="rId24" Type="http://schemas.openxmlformats.org/officeDocument/2006/relationships/hyperlink" Target="https://www.figma.com/design/dAKa9xPhXAuRKat5jGS8Hx/Dentist?node-id=10-123028" TargetMode="External"/><Relationship Id="rId25" Type="http://schemas.openxmlformats.org/officeDocument/2006/relationships/hyperlink" Target="https://www.figma.com/design/dAKa9xPhXAuRKat5jGS8Hx/Dentist?node-id=10-123582" TargetMode="External"/><Relationship Id="rId26" Type="http://schemas.openxmlformats.org/officeDocument/2006/relationships/hyperlink" Target="https://www.figma.com/design/dAKa9xPhXAuRKat5jGS8Hx/Dentist?node-id=10-106215" TargetMode="External"/><Relationship Id="rId27" Type="http://schemas.openxmlformats.org/officeDocument/2006/relationships/hyperlink" Target="https://www.figma.com/design/dAKa9xPhXAuRKat5jGS8Hx/Dentist?node-id=10-106502" TargetMode="External"/><Relationship Id="rId28" Type="http://schemas.openxmlformats.org/officeDocument/2006/relationships/hyperlink" Target="https://www.figma.com/design/dAKa9xPhXAuRKat5jGS8Hx/Dentist?node-id=10-106792" TargetMode="External"/><Relationship Id="rId29" Type="http://schemas.openxmlformats.org/officeDocument/2006/relationships/hyperlink" Target="https://www.figma.com/design/dAKa9xPhXAuRKat5jGS8Hx/Dentist?node-id=10-107090" TargetMode="External"/><Relationship Id="rId30" Type="http://schemas.openxmlformats.org/officeDocument/2006/relationships/hyperlink" Target="https://www.figma.com/design/dAKa9xPhXAuRKat5jGS8Hx/Dentist?node-id=10-107990" TargetMode="External"/><Relationship Id="rId31" Type="http://schemas.openxmlformats.org/officeDocument/2006/relationships/hyperlink" Target="https://www.figma.com/design/dAKa9xPhXAuRKat5jGS8Hx/Dentist?node-id=10-107421" TargetMode="External"/><Relationship Id="rId32" Type="http://schemas.openxmlformats.org/officeDocument/2006/relationships/hyperlink" Target="https://www.figma.com/design/dAKa9xPhXAuRKat5jGS8Hx/Dentist?node-id=10-108486" TargetMode="External"/><Relationship Id="rId33" Type="http://schemas.openxmlformats.org/officeDocument/2006/relationships/hyperlink" Target="https://www.figma.com/design/dAKa9xPhXAuRKat5jGS8Hx/Dentist?node-id=10-108813" TargetMode="External"/><Relationship Id="rId34" Type="http://schemas.openxmlformats.org/officeDocument/2006/relationships/hyperlink" Target="https://www.figma.com/design/dAKa9xPhXAuRKat5jGS8Hx/Dentist?node-id=10-124034" TargetMode="External"/><Relationship Id="rId35" Type="http://schemas.openxmlformats.org/officeDocument/2006/relationships/hyperlink" Target="https://www.figma.com/design/dAKa9xPhXAuRKat5jGS8Hx/Dentist?node-id=10-124502" TargetMode="External"/><Relationship Id="rId36" Type="http://schemas.openxmlformats.org/officeDocument/2006/relationships/hyperlink" Target="https://www.figma.com/design/dAKa9xPhXAuRKat5jGS8Hx/Dentist?node-id=10-109264" TargetMode="External"/><Relationship Id="rId37" Type="http://schemas.openxmlformats.org/officeDocument/2006/relationships/hyperlink" Target="https://www.figma.com/design/dAKa9xPhXAuRKat5jGS8Hx/Dentist?node-id=10-109629" TargetMode="External"/><Relationship Id="rId38" Type="http://schemas.openxmlformats.org/officeDocument/2006/relationships/hyperlink" Target="https://www.figma.com/design/dAKa9xPhXAuRKat5jGS8Hx/Dentist?node-id=10-113892" TargetMode="External"/><Relationship Id="rId39" Type="http://schemas.openxmlformats.org/officeDocument/2006/relationships/hyperlink" Target="https://www.figma.com/design/dAKa9xPhXAuRKat5jGS8Hx/Dentist?node-id=10-109960" TargetMode="External"/><Relationship Id="rId40" Type="http://schemas.openxmlformats.org/officeDocument/2006/relationships/hyperlink" Target="https://www.figma.com/design/dAKa9xPhXAuRKat5jGS8Hx/Dentist?node-id=10-110367" TargetMode="External"/><Relationship Id="rId41" Type="http://schemas.openxmlformats.org/officeDocument/2006/relationships/hyperlink" Target="https://www.figma.com/design/dAKa9xPhXAuRKat5jGS8Hx/Dentist?node-id=10-110800" TargetMode="External"/><Relationship Id="rId42" Type="http://schemas.openxmlformats.org/officeDocument/2006/relationships/hyperlink" Target="https://www.figma.com/design/dAKa9xPhXAuRKat5jGS8Hx/Dentist?node-id=10-111261" TargetMode="External"/><Relationship Id="rId43" Type="http://schemas.openxmlformats.org/officeDocument/2006/relationships/hyperlink" Target="https://www.figma.com/design/dAKa9xPhXAuRKat5jGS8Hx/Dentist?node-id=10-112428" TargetMode="External"/><Relationship Id="rId44" Type="http://schemas.openxmlformats.org/officeDocument/2006/relationships/hyperlink" Target="https://www.figma.com/design/dAKa9xPhXAuRKat5jGS8Hx/Dentist?node-id=10-111620" TargetMode="External"/><Relationship Id="rId45" Type="http://schemas.openxmlformats.org/officeDocument/2006/relationships/hyperlink" Target="https://www.figma.com/design/dAKa9xPhXAuRKat5jGS8Hx/Dentist?node-id=10-111992" TargetMode="External"/><Relationship Id="rId46" Type="http://schemas.openxmlformats.org/officeDocument/2006/relationships/hyperlink" Target="https://www.figma.com/design/dAKa9xPhXAuRKat5jGS8Hx/Dentist?node-id=10-116934" TargetMode="External"/><Relationship Id="rId47" Type="http://schemas.openxmlformats.org/officeDocument/2006/relationships/hyperlink" Target="https://www.figma.com/design/dAKa9xPhXAuRKat5jGS8Hx/Dentist?node-id=10-116635" TargetMode="External"/><Relationship Id="rId48" Type="http://schemas.openxmlformats.org/officeDocument/2006/relationships/hyperlink" Target="https://www.figma.com/design/dAKa9xPhXAuRKat5jGS8Hx/Dentist?node-id=10-114548" TargetMode="External"/><Relationship Id="rId49" Type="http://schemas.openxmlformats.org/officeDocument/2006/relationships/hyperlink" Target="https://www.figma.com/design/dAKa9xPhXAuRKat5jGS8Hx/Dentist?node-id=10-114859" TargetMode="External"/><Relationship Id="rId50" Type="http://schemas.openxmlformats.org/officeDocument/2006/relationships/hyperlink" Target="https://www.figma.com/design/dAKa9xPhXAuRKat5jGS8Hx/Dentist?node-id=10-116224" TargetMode="External"/><Relationship Id="rId51" Type="http://schemas.openxmlformats.org/officeDocument/2006/relationships/hyperlink" Target="https://www.figma.com/design/dAKa9xPhXAuRKat5jGS8Hx/Dentist?node-id=10-118026" TargetMode="External"/><Relationship Id="rId52" Type="http://schemas.openxmlformats.org/officeDocument/2006/relationships/hyperlink" Target="https://www.figma.com/design/dAKa9xPhXAuRKat5jGS8Hx/Dentist?node-id=10-118147" TargetMode="External"/><Relationship Id="rId53" Type="http://schemas.openxmlformats.org/officeDocument/2006/relationships/hyperlink" Target="https://www.figma.com/design/dAKa9xPhXAuRKat5jGS8Hx/Dentist?node-id=10-118442" TargetMode="External"/><Relationship Id="rId54" Type="http://schemas.openxmlformats.org/officeDocument/2006/relationships/hyperlink" Target="https://www.figma.com/design/dAKa9xPhXAuRKat5jGS8Hx/Dentist?node-id=10-118711" TargetMode="External"/><Relationship Id="rId55" Type="http://schemas.openxmlformats.org/officeDocument/2006/relationships/hyperlink" Target="https://www.figma.com/design/dAKa9xPhXAuRKat5jGS8Hx/Dentist?node-id=10-118993" TargetMode="External"/><Relationship Id="rId56" Type="http://schemas.openxmlformats.org/officeDocument/2006/relationships/hyperlink" Target="https://www.figma.com/design/dAKa9xPhXAuRKat5jGS8Hx/Dentist?node-id=10-119334" TargetMode="External"/><Relationship Id="rId57" Type="http://schemas.openxmlformats.org/officeDocument/2006/relationships/hyperlink" Target="https://www.figma.com/design/dAKa9xPhXAuRKat5jGS8Hx/Dentist?node-id=10-119708" TargetMode="External"/><Relationship Id="rId58" Type="http://schemas.openxmlformats.org/officeDocument/2006/relationships/hyperlink" Target="https://www.figma.com/design/dAKa9xPhXAuRKat5jGS8Hx/Dentist?node-id=10-119828" TargetMode="External"/><Relationship Id="rId59" Type="http://schemas.openxmlformats.org/officeDocument/2006/relationships/hyperlink" Target="https://www.figma.com/design/dAKa9xPhXAuRKat5jGS8Hx/Dentist?node-id=10-119985" TargetMode="External"/><Relationship Id="rId60" Type="http://schemas.openxmlformats.org/officeDocument/2006/relationships/hyperlink" Target="https://www.figma.com/design/dAKa9xPhXAuRKat5jGS8Hx/Dentist?node-id=10-120280" TargetMode="External"/><Relationship Id="rId61" Type="http://schemas.openxmlformats.org/officeDocument/2006/relationships/hyperlink" Target="https://www.figma.com/design/dAKa9xPhXAuRKat5jGS8Hx/Dentist?node-id=10-120136" TargetMode="External"/><Relationship Id="rId62" Type="http://schemas.openxmlformats.org/officeDocument/2006/relationships/hyperlink" Target="https://www.figma.com/design/dAKa9xPhXAuRKat5jGS8Hx/Dentist?node-id=10-120429" TargetMode="External"/><Relationship Id="rId63" Type="http://schemas.openxmlformats.org/officeDocument/2006/relationships/hyperlink" Target="https://www.figma.com/design/dAKa9xPhXAuRKat5jGS8Hx/Dentist?node-id=10-120602" TargetMode="External"/><Relationship Id="rId64" Type="http://schemas.openxmlformats.org/officeDocument/2006/relationships/hyperlink" Target="https://www.figma.com/design/dAKa9xPhXAuRKat5jGS8Hx/Dentist?node-id=10-120698" TargetMode="External"/><Relationship Id="rId65" Type="http://schemas.openxmlformats.org/officeDocument/2006/relationships/hyperlink" Target="https://www.figma.com/design/dAKa9xPhXAuRKat5jGS8Hx/Dentist?node-id=10-120809" TargetMode="External"/><Relationship Id="rId66" Type="http://schemas.openxmlformats.org/officeDocument/2006/relationships/hyperlink" Target="https://www.figma.com/design/dAKa9xPhXAuRKat5jGS8Hx/Dentist?node-id=10-120930" TargetMode="External"/><Relationship Id="rId67" Type="http://schemas.openxmlformats.org/officeDocument/2006/relationships/hyperlink" Target="https://www.figma.com/design/dAKa9xPhXAuRKat5jGS8Hx/Dentist?node-id=10-121052" TargetMode="External"/><Relationship Id="rId68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figma.com/design/dAKa9xPhXAuRKat5jGS8Hx/Dentist?node-id=10-121173" TargetMode="External"/><Relationship Id="rId2" Type="http://schemas.openxmlformats.org/officeDocument/2006/relationships/hyperlink" Target="https://www.figma.com/design/dAKa9xPhXAuRKat5jGS8Hx/Dentist?node-id=10-96407" TargetMode="External"/><Relationship Id="rId3" Type="http://schemas.openxmlformats.org/officeDocument/2006/relationships/hyperlink" Target="https://www.figma.com/design/dAKa9xPhXAuRKat5jGS8Hx/Dentist?node-id=10-96873" TargetMode="External"/><Relationship Id="rId4" Type="http://schemas.openxmlformats.org/officeDocument/2006/relationships/hyperlink" Target="https://www.figma.com/design/dAKa9xPhXAuRKat5jGS8Hx/Dentist?node-id=10-99055" TargetMode="External"/><Relationship Id="rId5" Type="http://schemas.openxmlformats.org/officeDocument/2006/relationships/hyperlink" Target="https://www.figma.com/design/dAKa9xPhXAuRKat5jGS8Hx/Dentist?node-id=10-97339" TargetMode="External"/><Relationship Id="rId6" Type="http://schemas.openxmlformats.org/officeDocument/2006/relationships/hyperlink" Target="https://www.figma.com/design/dAKa9xPhXAuRKat5jGS8Hx/Dentist?node-id=10-98126" TargetMode="External"/><Relationship Id="rId7" Type="http://schemas.openxmlformats.org/officeDocument/2006/relationships/hyperlink" Target="https://www.figma.com/design/dAKa9xPhXAuRKat5jGS8Hx/Dentist?node-id=10-99623" TargetMode="External"/><Relationship Id="rId8" Type="http://schemas.openxmlformats.org/officeDocument/2006/relationships/hyperlink" Target="https://www.figma.com/design/dAKa9xPhXAuRKat5jGS8Hx/Dentist?node-id=10-100186" TargetMode="External"/><Relationship Id="rId9" Type="http://schemas.openxmlformats.org/officeDocument/2006/relationships/hyperlink" Target="https://www.figma.com/design/dAKa9xPhXAuRKat5jGS8Hx/Dentist?node-id=10-100277" TargetMode="External"/><Relationship Id="rId10" Type="http://schemas.openxmlformats.org/officeDocument/2006/relationships/hyperlink" Target="https://www.figma.com/design/dAKa9xPhXAuRKat5jGS8Hx/Dentist?node-id=10-100372" TargetMode="External"/><Relationship Id="rId11" Type="http://schemas.openxmlformats.org/officeDocument/2006/relationships/hyperlink" Target="https://www.figma.com/design/dAKa9xPhXAuRKat5jGS8Hx/Dentist?node-id=10-100469" TargetMode="External"/><Relationship Id="rId12" Type="http://schemas.openxmlformats.org/officeDocument/2006/relationships/hyperlink" Target="https://www.figma.com/design/dAKa9xPhXAuRKat5jGS8Hx/Dentist?node-id=10-100561" TargetMode="External"/><Relationship Id="rId13" Type="http://schemas.openxmlformats.org/officeDocument/2006/relationships/hyperlink" Target="https://www.figma.com/design/dAKa9xPhXAuRKat5jGS8Hx/Dentist?node-id=10-100654" TargetMode="External"/><Relationship Id="rId14" Type="http://schemas.openxmlformats.org/officeDocument/2006/relationships/hyperlink" Target="https://www.figma.com/design/dAKa9xPhXAuRKat5jGS8Hx/Dentist?node-id=10-100745" TargetMode="External"/><Relationship Id="rId15" Type="http://schemas.openxmlformats.org/officeDocument/2006/relationships/hyperlink" Target="https://www.figma.com/design/dAKa9xPhXAuRKat5jGS8Hx/Dentist?node-id=10-100985" TargetMode="External"/><Relationship Id="rId16" Type="http://schemas.openxmlformats.org/officeDocument/2006/relationships/hyperlink" Target="https://www.figma.com/design/dAKa9xPhXAuRKat5jGS8Hx/Dentist?node-id=10-101042" TargetMode="External"/><Relationship Id="rId17" Type="http://schemas.openxmlformats.org/officeDocument/2006/relationships/hyperlink" Target="https://www.figma.com/design/dAKa9xPhXAuRKat5jGS8Hx/Dentist?node-id=10-101149" TargetMode="External"/><Relationship Id="rId18" Type="http://schemas.openxmlformats.org/officeDocument/2006/relationships/hyperlink" Target="https://www.figma.com/design/dAKa9xPhXAuRKat5jGS8Hx/Dentist?node-id=10-100853" TargetMode="External"/><Relationship Id="rId19" Type="http://schemas.openxmlformats.org/officeDocument/2006/relationships/hyperlink" Target="https://www.figma.com/design/dAKa9xPhXAuRKat5jGS8Hx/Dentist?node-id=10-102312" TargetMode="External"/><Relationship Id="rId20" Type="http://schemas.openxmlformats.org/officeDocument/2006/relationships/hyperlink" Target="https://www.figma.com/design/dAKa9xPhXAuRKat5jGS8Hx/Dentist?node-id=10-103345" TargetMode="External"/><Relationship Id="rId21" Type="http://schemas.openxmlformats.org/officeDocument/2006/relationships/hyperlink" Target="https://www.figma.com/design/dAKa9xPhXAuRKat5jGS8Hx/Dentist?node-id=10-103884" TargetMode="External"/><Relationship Id="rId22" Type="http://schemas.openxmlformats.org/officeDocument/2006/relationships/hyperlink" Target="https://www.figma.com/design/dAKa9xPhXAuRKat5jGS8Hx/Dentist?node-id=10-101239" TargetMode="External"/><Relationship Id="rId23" Type="http://schemas.openxmlformats.org/officeDocument/2006/relationships/hyperlink" Target="https://www.figma.com/design/dAKa9xPhXAuRKat5jGS8Hx/Dentist?node-id=10-101711" TargetMode="External"/><Relationship Id="rId24" Type="http://schemas.openxmlformats.org/officeDocument/2006/relationships/hyperlink" Target="https://www.figma.com/design/dAKa9xPhXAuRKat5jGS8Hx/Dentist?node-id=10-104402" TargetMode="External"/><Relationship Id="rId25" Type="http://schemas.openxmlformats.org/officeDocument/2006/relationships/hyperlink" Target="https://www.figma.com/design/dAKa9xPhXAuRKat5jGS8Hx/Dentist?node-id=10-102813" TargetMode="External"/><Relationship Id="rId26" Type="http://schemas.openxmlformats.org/officeDocument/2006/relationships/hyperlink" Target="https://www.figma.com/design/dAKa9xPhXAuRKat5jGS8Hx/Dentist?node-id=10-95644" TargetMode="External"/><Relationship Id="rId27" Type="http://schemas.openxmlformats.org/officeDocument/2006/relationships/hyperlink" Target="https://www.figma.com/design/dAKa9xPhXAuRKat5jGS8Hx/Dentist?node-id=10-104968" TargetMode="External"/><Relationship Id="rId28" Type="http://schemas.openxmlformats.org/officeDocument/2006/relationships/hyperlink" Target="https://www.figma.com/design/dAKa9xPhXAuRKat5jGS8Hx/Dentist?node-id=10-105822" TargetMode="External"/><Relationship Id="rId29" Type="http://schemas.openxmlformats.org/officeDocument/2006/relationships/hyperlink" Target="https://www.figma.com/design/dAKa9xPhXAuRKat5jGS8Hx/Dentist?node-id=10-121462" TargetMode="External"/><Relationship Id="rId30" Type="http://schemas.openxmlformats.org/officeDocument/2006/relationships/hyperlink" Target="https://www.figma.com/design/dAKa9xPhXAuRKat5jGS8Hx/Dentist?node-id=10-122060" TargetMode="External"/><Relationship Id="rId31" Type="http://schemas.openxmlformats.org/officeDocument/2006/relationships/hyperlink" Target="https://www.figma.com/design/dAKa9xPhXAuRKat5jGS8Hx/Dentist?node-id=10-122505" TargetMode="External"/><Relationship Id="rId32" Type="http://schemas.openxmlformats.org/officeDocument/2006/relationships/hyperlink" Target="https://www.figma.com/design/dAKa9xPhXAuRKat5jGS8Hx/Dentist?node-id=10-123028" TargetMode="External"/><Relationship Id="rId33" Type="http://schemas.openxmlformats.org/officeDocument/2006/relationships/hyperlink" Target="https://www.figma.com/design/dAKa9xPhXAuRKat5jGS8Hx/Dentist?node-id=10-123582" TargetMode="External"/><Relationship Id="rId34" Type="http://schemas.openxmlformats.org/officeDocument/2006/relationships/hyperlink" Target="https://www.figma.com/design/dAKa9xPhXAuRKat5jGS8Hx/Dentist?node-id=10-106215" TargetMode="External"/><Relationship Id="rId35" Type="http://schemas.openxmlformats.org/officeDocument/2006/relationships/hyperlink" Target="https://www.figma.com/design/dAKa9xPhXAuRKat5jGS8Hx/Dentist?node-id=10-106502" TargetMode="External"/><Relationship Id="rId36" Type="http://schemas.openxmlformats.org/officeDocument/2006/relationships/hyperlink" Target="https://www.figma.com/design/dAKa9xPhXAuRKat5jGS8Hx/Dentist?node-id=10-106792" TargetMode="External"/><Relationship Id="rId37" Type="http://schemas.openxmlformats.org/officeDocument/2006/relationships/hyperlink" Target="https://www.figma.com/design/dAKa9xPhXAuRKat5jGS8Hx/Dentist?node-id=10-107090" TargetMode="External"/><Relationship Id="rId38" Type="http://schemas.openxmlformats.org/officeDocument/2006/relationships/hyperlink" Target="https://www.figma.com/design/dAKa9xPhXAuRKat5jGS8Hx/Dentist?node-id=10-107990" TargetMode="External"/><Relationship Id="rId39" Type="http://schemas.openxmlformats.org/officeDocument/2006/relationships/hyperlink" Target="https://www.figma.com/design/dAKa9xPhXAuRKat5jGS8Hx/Dentist?node-id=10-107421" TargetMode="External"/><Relationship Id="rId40" Type="http://schemas.openxmlformats.org/officeDocument/2006/relationships/hyperlink" Target="https://www.figma.com/design/dAKa9xPhXAuRKat5jGS8Hx/Dentist?node-id=10-108486" TargetMode="External"/><Relationship Id="rId41" Type="http://schemas.openxmlformats.org/officeDocument/2006/relationships/hyperlink" Target="https://www.figma.com/design/dAKa9xPhXAuRKat5jGS8Hx/Dentist?node-id=10-108813" TargetMode="External"/><Relationship Id="rId42" Type="http://schemas.openxmlformats.org/officeDocument/2006/relationships/hyperlink" Target="https://www.figma.com/design/dAKa9xPhXAuRKat5jGS8Hx/Dentist?node-id=10-124034" TargetMode="External"/><Relationship Id="rId43" Type="http://schemas.openxmlformats.org/officeDocument/2006/relationships/hyperlink" Target="https://www.figma.com/design/dAKa9xPhXAuRKat5jGS8Hx/Dentist?node-id=10-124502" TargetMode="External"/><Relationship Id="rId44" Type="http://schemas.openxmlformats.org/officeDocument/2006/relationships/hyperlink" Target="https://www.figma.com/design/dAKa9xPhXAuRKat5jGS8Hx/Dentist?node-id=10-109264" TargetMode="External"/><Relationship Id="rId45" Type="http://schemas.openxmlformats.org/officeDocument/2006/relationships/hyperlink" Target="https://www.figma.com/design/dAKa9xPhXAuRKat5jGS8Hx/Dentist?node-id=10-109629" TargetMode="External"/><Relationship Id="rId46" Type="http://schemas.openxmlformats.org/officeDocument/2006/relationships/hyperlink" Target="https://www.figma.com/design/dAKa9xPhXAuRKat5jGS8Hx/Dentist?node-id=10-113892" TargetMode="External"/><Relationship Id="rId47" Type="http://schemas.openxmlformats.org/officeDocument/2006/relationships/hyperlink" Target="https://www.figma.com/design/dAKa9xPhXAuRKat5jGS8Hx/Dentist?node-id=10-109960" TargetMode="External"/><Relationship Id="rId48" Type="http://schemas.openxmlformats.org/officeDocument/2006/relationships/hyperlink" Target="https://www.figma.com/design/dAKa9xPhXAuRKat5jGS8Hx/Dentist?node-id=10-110367" TargetMode="External"/><Relationship Id="rId49" Type="http://schemas.openxmlformats.org/officeDocument/2006/relationships/hyperlink" Target="https://www.figma.com/design/dAKa9xPhXAuRKat5jGS8Hx/Dentist?node-id=10-110800" TargetMode="External"/><Relationship Id="rId50" Type="http://schemas.openxmlformats.org/officeDocument/2006/relationships/hyperlink" Target="https://www.figma.com/design/dAKa9xPhXAuRKat5jGS8Hx/Dentist?node-id=10-111261" TargetMode="External"/><Relationship Id="rId51" Type="http://schemas.openxmlformats.org/officeDocument/2006/relationships/hyperlink" Target="https://www.figma.com/design/dAKa9xPhXAuRKat5jGS8Hx/Dentist?node-id=10-112428" TargetMode="External"/><Relationship Id="rId52" Type="http://schemas.openxmlformats.org/officeDocument/2006/relationships/hyperlink" Target="https://www.figma.com/design/dAKa9xPhXAuRKat5jGS8Hx/Dentist?node-id=10-112892" TargetMode="External"/><Relationship Id="rId53" Type="http://schemas.openxmlformats.org/officeDocument/2006/relationships/hyperlink" Target="https://www.figma.com/design/dAKa9xPhXAuRKat5jGS8Hx/Dentist?node-id=10-113379" TargetMode="External"/><Relationship Id="rId54" Type="http://schemas.openxmlformats.org/officeDocument/2006/relationships/hyperlink" Target="https://www.figma.com/design/dAKa9xPhXAuRKat5jGS8Hx/Dentist?node-id=10-111620" TargetMode="External"/><Relationship Id="rId55" Type="http://schemas.openxmlformats.org/officeDocument/2006/relationships/hyperlink" Target="https://www.figma.com/design/dAKa9xPhXAuRKat5jGS8Hx/Dentist?node-id=10-111992" TargetMode="External"/><Relationship Id="rId56" Type="http://schemas.openxmlformats.org/officeDocument/2006/relationships/hyperlink" Target="https://www.figma.com/design/dAKa9xPhXAuRKat5jGS8Hx/Dentist?node-id=10-116934" TargetMode="External"/><Relationship Id="rId57" Type="http://schemas.openxmlformats.org/officeDocument/2006/relationships/hyperlink" Target="https://www.figma.com/design/dAKa9xPhXAuRKat5jGS8Hx/Dentist?node-id=10-114250" TargetMode="External"/><Relationship Id="rId58" Type="http://schemas.openxmlformats.org/officeDocument/2006/relationships/hyperlink" Target="https://www.figma.com/design/dAKa9xPhXAuRKat5jGS8Hx/Dentist?node-id=10-116635" TargetMode="External"/><Relationship Id="rId59" Type="http://schemas.openxmlformats.org/officeDocument/2006/relationships/hyperlink" Target="https://www.figma.com/design/dAKa9xPhXAuRKat5jGS8Hx/Dentist?node-id=10-115837" TargetMode="External"/><Relationship Id="rId60" Type="http://schemas.openxmlformats.org/officeDocument/2006/relationships/hyperlink" Target="https://www.figma.com/design/dAKa9xPhXAuRKat5jGS8Hx/Dentist?node-id=10-114548" TargetMode="External"/><Relationship Id="rId61" Type="http://schemas.openxmlformats.org/officeDocument/2006/relationships/hyperlink" Target="https://www.figma.com/design/dAKa9xPhXAuRKat5jGS8Hx/Dentist?node-id=10-114859" TargetMode="External"/><Relationship Id="rId62" Type="http://schemas.openxmlformats.org/officeDocument/2006/relationships/hyperlink" Target="https://www.figma.com/design/dAKa9xPhXAuRKat5jGS8Hx/Dentist?node-id=10-115130" TargetMode="External"/><Relationship Id="rId63" Type="http://schemas.openxmlformats.org/officeDocument/2006/relationships/hyperlink" Target="https://www.figma.com/design/dAKa9xPhXAuRKat5jGS8Hx/Dentist?node-id=10-115495" TargetMode="External"/><Relationship Id="rId64" Type="http://schemas.openxmlformats.org/officeDocument/2006/relationships/hyperlink" Target="https://www.figma.com/design/dAKa9xPhXAuRKat5jGS8Hx/Dentist?node-id=10-116224" TargetMode="External"/><Relationship Id="rId65" Type="http://schemas.openxmlformats.org/officeDocument/2006/relationships/hyperlink" Target="https://www.figma.com/design/dAKa9xPhXAuRKat5jGS8Hx/Dentist?node-id=10-117182" TargetMode="External"/><Relationship Id="rId66" Type="http://schemas.openxmlformats.org/officeDocument/2006/relationships/hyperlink" Target="https://www.figma.com/design/dAKa9xPhXAuRKat5jGS8Hx/Dentist?node-id=10-117603" TargetMode="External"/><Relationship Id="rId67" Type="http://schemas.openxmlformats.org/officeDocument/2006/relationships/hyperlink" Target="https://www.figma.com/design/dAKa9xPhXAuRKat5jGS8Hx/Dentist?node-id=10-118026" TargetMode="External"/><Relationship Id="rId68" Type="http://schemas.openxmlformats.org/officeDocument/2006/relationships/hyperlink" Target="https://www.figma.com/design/dAKa9xPhXAuRKat5jGS8Hx/Dentist?node-id=10-118147" TargetMode="External"/><Relationship Id="rId69" Type="http://schemas.openxmlformats.org/officeDocument/2006/relationships/hyperlink" Target="https://www.figma.com/design/dAKa9xPhXAuRKat5jGS8Hx/Dentist?node-id=10-118442" TargetMode="External"/><Relationship Id="rId70" Type="http://schemas.openxmlformats.org/officeDocument/2006/relationships/hyperlink" Target="https://www.figma.com/design/dAKa9xPhXAuRKat5jGS8Hx/Dentist?node-id=10-118711" TargetMode="External"/><Relationship Id="rId71" Type="http://schemas.openxmlformats.org/officeDocument/2006/relationships/hyperlink" Target="https://www.figma.com/design/dAKa9xPhXAuRKat5jGS8Hx/Dentist?node-id=10-118993" TargetMode="External"/><Relationship Id="rId72" Type="http://schemas.openxmlformats.org/officeDocument/2006/relationships/hyperlink" Target="https://www.figma.com/design/dAKa9xPhXAuRKat5jGS8Hx/Dentist?node-id=10-119334" TargetMode="External"/><Relationship Id="rId73" Type="http://schemas.openxmlformats.org/officeDocument/2006/relationships/hyperlink" Target="https://www.figma.com/design/dAKa9xPhXAuRKat5jGS8Hx/Dentist?node-id=10-119708" TargetMode="External"/><Relationship Id="rId74" Type="http://schemas.openxmlformats.org/officeDocument/2006/relationships/hyperlink" Target="https://www.figma.com/design/dAKa9xPhXAuRKat5jGS8Hx/Dentist?node-id=10-119828" TargetMode="External"/><Relationship Id="rId75" Type="http://schemas.openxmlformats.org/officeDocument/2006/relationships/hyperlink" Target="https://www.figma.com/design/dAKa9xPhXAuRKat5jGS8Hx/Dentist?node-id=10-119985" TargetMode="External"/><Relationship Id="rId76" Type="http://schemas.openxmlformats.org/officeDocument/2006/relationships/hyperlink" Target="https://www.figma.com/design/dAKa9xPhXAuRKat5jGS8Hx/Dentist?node-id=10-120280" TargetMode="External"/><Relationship Id="rId77" Type="http://schemas.openxmlformats.org/officeDocument/2006/relationships/hyperlink" Target="https://www.figma.com/design/dAKa9xPhXAuRKat5jGS8Hx/Dentist?node-id=10-120136" TargetMode="External"/><Relationship Id="rId78" Type="http://schemas.openxmlformats.org/officeDocument/2006/relationships/hyperlink" Target="https://www.figma.com/design/dAKa9xPhXAuRKat5jGS8Hx/Dentist?node-id=10-120429" TargetMode="External"/><Relationship Id="rId79" Type="http://schemas.openxmlformats.org/officeDocument/2006/relationships/hyperlink" Target="https://www.figma.com/design/dAKa9xPhXAuRKat5jGS8Hx/Dentist?node-id=10-120602" TargetMode="External"/><Relationship Id="rId80" Type="http://schemas.openxmlformats.org/officeDocument/2006/relationships/hyperlink" Target="https://www.figma.com/design/dAKa9xPhXAuRKat5jGS8Hx/Dentist?node-id=10-120698" TargetMode="External"/><Relationship Id="rId81" Type="http://schemas.openxmlformats.org/officeDocument/2006/relationships/hyperlink" Target="https://www.figma.com/design/dAKa9xPhXAuRKat5jGS8Hx/Dentist?node-id=10-120809" TargetMode="External"/><Relationship Id="rId82" Type="http://schemas.openxmlformats.org/officeDocument/2006/relationships/hyperlink" Target="https://www.figma.com/design/dAKa9xPhXAuRKat5jGS8Hx/Dentist?node-id=10-120930" TargetMode="External"/><Relationship Id="rId83" Type="http://schemas.openxmlformats.org/officeDocument/2006/relationships/hyperlink" Target="https://www.figma.com/design/dAKa9xPhXAuRKat5jGS8Hx/Dentist?node-id=10-121052" TargetMode="External"/><Relationship Id="rId84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n">
        <f aca="false">COUNTIFS('Module List'!$A:$A,"M00.*",'Module List'!$B:$B,"Sub-module")</f>
        <v>1</v>
      </c>
      <c r="D5" s="4" t="n">
        <f aca="false">COUNTIFS('Module List'!$A:$A,"M00.*",'Module List'!$B:$B,"Feature")</f>
        <v>5</v>
      </c>
      <c r="E5" s="4" t="n">
        <f aca="false">COUNTIF('Screen Inventory'!$B:$B,"M00")</f>
        <v>0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n">
        <f aca="false">COUNTIFS('Module List'!$A:$A,"M01.*",'Module List'!$B:$B,"Sub-module")</f>
        <v>1</v>
      </c>
      <c r="D6" s="4" t="n">
        <f aca="false">COUNTIFS('Module List'!$A:$A,"M01.*",'Module List'!$B:$B,"Feature")</f>
        <v>6</v>
      </c>
      <c r="E6" s="4" t="n">
        <f aca="false">COUNTIF('Screen Inventory'!$B:$B,"M01")</f>
        <v>1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n">
        <f aca="false">COUNTIFS('Module List'!$A:$A,"M02.*",'Module List'!$B:$B,"Sub-module")</f>
        <v>4</v>
      </c>
      <c r="D7" s="4" t="n">
        <f aca="false">COUNTIFS('Module List'!$A:$A,"M02.*",'Module List'!$B:$B,"Feature")</f>
        <v>20</v>
      </c>
      <c r="E7" s="4" t="n">
        <f aca="false">COUNTIF('Screen Inventory'!$B:$B,"M02")</f>
        <v>26</v>
      </c>
    </row>
    <row r="8" customFormat="false" ht="15" hidden="false" customHeight="false" outlineLevel="0" collapsed="false">
      <c r="A8" s="4" t="s">
        <v>13</v>
      </c>
      <c r="B8" s="4" t="s">
        <v>14</v>
      </c>
      <c r="C8" s="4" t="n">
        <f aca="false">COUNTIFS('Module List'!$A:$A,"M03.*",'Module List'!$B:$B,"Sub-module")</f>
        <v>10</v>
      </c>
      <c r="D8" s="4" t="n">
        <f aca="false">COUNTIFS('Module List'!$A:$A,"M03.*",'Module List'!$B:$B,"Feature")</f>
        <v>35</v>
      </c>
      <c r="E8" s="4" t="n">
        <f aca="false">COUNTIF('Screen Inventory'!$B:$B,"M03")</f>
        <v>39</v>
      </c>
    </row>
    <row r="9" customFormat="false" ht="15" hidden="false" customHeight="false" outlineLevel="0" collapsed="false">
      <c r="A9" s="4" t="s">
        <v>15</v>
      </c>
      <c r="B9" s="4" t="s">
        <v>16</v>
      </c>
      <c r="C9" s="4" t="n">
        <f aca="false">COUNTIFS('Module List'!$A:$A,"M04.*",'Module List'!$B:$B,"Sub-module")</f>
        <v>2</v>
      </c>
      <c r="D9" s="4" t="n">
        <f aca="false">COUNTIFS('Module List'!$A:$A,"M04.*",'Module List'!$B:$B,"Feature")</f>
        <v>6</v>
      </c>
      <c r="E9" s="4" t="n">
        <f aca="false">COUNTIF('Screen Inventory'!$B:$B,"M04")</f>
        <v>6</v>
      </c>
    </row>
    <row r="10" customFormat="false" ht="15" hidden="false" customHeight="false" outlineLevel="0" collapsed="false">
      <c r="A10" s="4" t="s">
        <v>17</v>
      </c>
      <c r="B10" s="4" t="s">
        <v>18</v>
      </c>
      <c r="C10" s="4" t="n">
        <f aca="false">COUNTIFS('Module List'!$A:$A,"M05.*",'Module List'!$B:$B,"Sub-module")</f>
        <v>2</v>
      </c>
      <c r="D10" s="4" t="n">
        <f aca="false">COUNTIFS('Module List'!$A:$A,"M05.*",'Module List'!$B:$B,"Feature")</f>
        <v>11</v>
      </c>
      <c r="E10" s="4" t="n">
        <f aca="false">COUNTIF('Screen Inventory'!$B:$B,"M05")</f>
        <v>11</v>
      </c>
    </row>
    <row r="11" customFormat="false" ht="15" hidden="false" customHeight="false" outlineLevel="0" collapsed="false">
      <c r="B11" s="5" t="s">
        <v>19</v>
      </c>
      <c r="C11" s="6" t="n">
        <f aca="false">SUM(C5:C10)</f>
        <v>20</v>
      </c>
      <c r="D11" s="6" t="n">
        <f aca="false">SUM(D5:D10)</f>
        <v>83</v>
      </c>
      <c r="E11" s="6" t="n">
        <f aca="false">SUM(E5:E10)</f>
        <v>83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20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3</v>
      </c>
      <c r="B4" s="3" t="s">
        <v>22</v>
      </c>
      <c r="C4" s="3" t="s">
        <v>23</v>
      </c>
      <c r="D4" s="3" t="s">
        <v>6</v>
      </c>
      <c r="E4" s="3" t="s">
        <v>24</v>
      </c>
    </row>
    <row r="5" customFormat="false" ht="15" hidden="false" customHeight="true" outlineLevel="0" collapsed="false">
      <c r="A5" s="7" t="s">
        <v>25</v>
      </c>
      <c r="B5" s="8" t="s">
        <v>26</v>
      </c>
      <c r="C5" s="9" t="s">
        <v>27</v>
      </c>
      <c r="D5" s="10" t="n">
        <f aca="false">COUNTIF('Screen Inventory'!$F:$F,"M00.01.01")</f>
        <v>0</v>
      </c>
      <c r="E5" s="11"/>
    </row>
    <row r="6" customFormat="false" ht="15" hidden="false" customHeight="false" outlineLevel="0" collapsed="false">
      <c r="A6" s="7"/>
      <c r="B6" s="7"/>
      <c r="C6" s="9" t="s">
        <v>28</v>
      </c>
      <c r="D6" s="10" t="n">
        <f aca="false">COUNTIF('Screen Inventory'!$F:$F,"M00.01.02")</f>
        <v>0</v>
      </c>
      <c r="E6" s="11"/>
    </row>
    <row r="7" customFormat="false" ht="15" hidden="false" customHeight="false" outlineLevel="0" collapsed="false">
      <c r="A7" s="7"/>
      <c r="B7" s="7"/>
      <c r="C7" s="9" t="s">
        <v>29</v>
      </c>
      <c r="D7" s="10" t="n">
        <f aca="false">COUNTIF('Screen Inventory'!$F:$F,"M00.01.03")</f>
        <v>0</v>
      </c>
      <c r="E7" s="11"/>
    </row>
    <row r="8" customFormat="false" ht="15" hidden="false" customHeight="false" outlineLevel="0" collapsed="false">
      <c r="A8" s="7"/>
      <c r="B8" s="7"/>
      <c r="C8" s="9" t="s">
        <v>30</v>
      </c>
      <c r="D8" s="10" t="n">
        <f aca="false">COUNTIF('Screen Inventory'!$F:$F,"M00.01.04")</f>
        <v>0</v>
      </c>
      <c r="E8" s="11"/>
    </row>
    <row r="9" customFormat="false" ht="15" hidden="false" customHeight="false" outlineLevel="0" collapsed="false">
      <c r="A9" s="7"/>
      <c r="B9" s="7"/>
      <c r="C9" s="9" t="s">
        <v>31</v>
      </c>
      <c r="D9" s="10" t="n">
        <f aca="false">COUNTIF('Screen Inventory'!$F:$F,"M00.01.05")</f>
        <v>0</v>
      </c>
      <c r="E9" s="11"/>
    </row>
    <row r="10" customFormat="false" ht="15" hidden="false" customHeight="true" outlineLevel="0" collapsed="false">
      <c r="A10" s="12" t="s">
        <v>32</v>
      </c>
      <c r="B10" s="13" t="s">
        <v>33</v>
      </c>
      <c r="C10" s="14" t="s">
        <v>34</v>
      </c>
      <c r="D10" s="15" t="n">
        <f aca="false">COUNTIF('Screen Inventory'!$F:$F,"M01.01.01")</f>
        <v>1</v>
      </c>
      <c r="E10" s="16" t="s">
        <v>35</v>
      </c>
    </row>
    <row r="11" customFormat="false" ht="15" hidden="false" customHeight="false" outlineLevel="0" collapsed="false">
      <c r="A11" s="12"/>
      <c r="B11" s="12"/>
      <c r="C11" s="14" t="s">
        <v>36</v>
      </c>
      <c r="D11" s="15" t="n">
        <f aca="false">COUNTIF('Screen Inventory'!$F:$F,"M01.01.02")</f>
        <v>0</v>
      </c>
      <c r="E11" s="17"/>
    </row>
    <row r="12" customFormat="false" ht="15" hidden="false" customHeight="false" outlineLevel="0" collapsed="false">
      <c r="A12" s="12"/>
      <c r="B12" s="12"/>
      <c r="C12" s="14" t="s">
        <v>37</v>
      </c>
      <c r="D12" s="15" t="n">
        <f aca="false">COUNTIF('Screen Inventory'!$F:$F,"M01.01.03")</f>
        <v>0</v>
      </c>
      <c r="E12" s="17"/>
    </row>
    <row r="13" customFormat="false" ht="15" hidden="false" customHeight="false" outlineLevel="0" collapsed="false">
      <c r="A13" s="12"/>
      <c r="B13" s="12"/>
      <c r="C13" s="14" t="s">
        <v>38</v>
      </c>
      <c r="D13" s="15" t="n">
        <f aca="false">COUNTIF('Screen Inventory'!$F:$F,"M01.01.04")</f>
        <v>0</v>
      </c>
      <c r="E13" s="17"/>
    </row>
    <row r="14" customFormat="false" ht="15" hidden="false" customHeight="false" outlineLevel="0" collapsed="false">
      <c r="A14" s="12"/>
      <c r="B14" s="12"/>
      <c r="C14" s="14" t="s">
        <v>39</v>
      </c>
      <c r="D14" s="15" t="n">
        <f aca="false">COUNTIF('Screen Inventory'!$F:$F,"M01.01.05")</f>
        <v>0</v>
      </c>
      <c r="E14" s="17"/>
    </row>
    <row r="15" customFormat="false" ht="15" hidden="false" customHeight="false" outlineLevel="0" collapsed="false">
      <c r="A15" s="12"/>
      <c r="B15" s="12"/>
      <c r="C15" s="14" t="s">
        <v>40</v>
      </c>
      <c r="D15" s="15" t="n">
        <f aca="false">COUNTIF('Screen Inventory'!$F:$F,"M01.01.06")</f>
        <v>0</v>
      </c>
      <c r="E15" s="17"/>
    </row>
    <row r="16" customFormat="false" ht="15" hidden="false" customHeight="true" outlineLevel="0" collapsed="false">
      <c r="A16" s="18" t="s">
        <v>41</v>
      </c>
      <c r="B16" s="19" t="s">
        <v>42</v>
      </c>
      <c r="C16" s="20" t="s">
        <v>43</v>
      </c>
      <c r="D16" s="21" t="n">
        <f aca="false">COUNTIF('Screen Inventory'!$F:$F,"M02.01.01")</f>
        <v>2</v>
      </c>
      <c r="E16" s="22" t="s">
        <v>35</v>
      </c>
    </row>
    <row r="17" customFormat="false" ht="15" hidden="false" customHeight="false" outlineLevel="0" collapsed="false">
      <c r="A17" s="18"/>
      <c r="B17" s="18"/>
      <c r="C17" s="20" t="s">
        <v>44</v>
      </c>
      <c r="D17" s="21" t="n">
        <f aca="false">COUNTIF('Screen Inventory'!$F:$F,"M02.01.02")</f>
        <v>1</v>
      </c>
      <c r="E17" s="22" t="s">
        <v>35</v>
      </c>
    </row>
    <row r="18" customFormat="false" ht="15" hidden="false" customHeight="false" outlineLevel="0" collapsed="false">
      <c r="A18" s="18"/>
      <c r="B18" s="18"/>
      <c r="C18" s="20" t="s">
        <v>45</v>
      </c>
      <c r="D18" s="21" t="n">
        <f aca="false">COUNTIF('Screen Inventory'!$F:$F,"M02.01.03")</f>
        <v>1</v>
      </c>
      <c r="E18" s="22" t="s">
        <v>35</v>
      </c>
    </row>
    <row r="19" customFormat="false" ht="15" hidden="false" customHeight="false" outlineLevel="0" collapsed="false">
      <c r="A19" s="18"/>
      <c r="B19" s="18"/>
      <c r="C19" s="20" t="s">
        <v>46</v>
      </c>
      <c r="D19" s="21" t="n">
        <f aca="false">COUNTIF('Screen Inventory'!$F:$F,"M02.01.04")</f>
        <v>1</v>
      </c>
      <c r="E19" s="22" t="s">
        <v>35</v>
      </c>
    </row>
    <row r="20" customFormat="false" ht="15" hidden="false" customHeight="false" outlineLevel="0" collapsed="false">
      <c r="A20" s="18"/>
      <c r="B20" s="18"/>
      <c r="C20" s="20" t="s">
        <v>47</v>
      </c>
      <c r="D20" s="21" t="n">
        <f aca="false">COUNTIF('Screen Inventory'!$F:$F,"M02.01.05")</f>
        <v>0</v>
      </c>
      <c r="E20" s="23"/>
    </row>
    <row r="21" customFormat="false" ht="15" hidden="false" customHeight="false" outlineLevel="0" collapsed="false">
      <c r="A21" s="18"/>
      <c r="B21" s="19"/>
      <c r="C21" s="20" t="s">
        <v>48</v>
      </c>
      <c r="D21" s="21" t="n">
        <f aca="false">COUNTIF('Screen Inventory'!$F:$F,"M02.01.06")</f>
        <v>0</v>
      </c>
      <c r="E21" s="23"/>
    </row>
    <row r="22" customFormat="false" ht="15" hidden="false" customHeight="true" outlineLevel="0" collapsed="false">
      <c r="A22" s="18"/>
      <c r="B22" s="19" t="s">
        <v>49</v>
      </c>
      <c r="C22" s="20" t="s">
        <v>50</v>
      </c>
      <c r="D22" s="21" t="n">
        <f aca="false">COUNTIF('Screen Inventory'!$F:$F,"M02.02.01")</f>
        <v>1</v>
      </c>
      <c r="E22" s="22" t="s">
        <v>35</v>
      </c>
    </row>
    <row r="23" customFormat="false" ht="15" hidden="false" customHeight="false" outlineLevel="0" collapsed="false">
      <c r="A23" s="18"/>
      <c r="B23" s="18"/>
      <c r="C23" s="20" t="s">
        <v>51</v>
      </c>
      <c r="D23" s="21" t="n">
        <f aca="false">COUNTIF('Screen Inventory'!$F:$F,"M02.02.02")</f>
        <v>6</v>
      </c>
      <c r="E23" s="22" t="s">
        <v>35</v>
      </c>
    </row>
    <row r="24" customFormat="false" ht="15" hidden="false" customHeight="false" outlineLevel="0" collapsed="false">
      <c r="A24" s="18"/>
      <c r="B24" s="18"/>
      <c r="C24" s="20" t="s">
        <v>52</v>
      </c>
      <c r="D24" s="21" t="n">
        <f aca="false">COUNTIF('Screen Inventory'!$F:$F,"M02.02.03")</f>
        <v>1</v>
      </c>
      <c r="E24" s="22" t="s">
        <v>35</v>
      </c>
    </row>
    <row r="25" customFormat="false" ht="15" hidden="false" customHeight="false" outlineLevel="0" collapsed="false">
      <c r="A25" s="18"/>
      <c r="B25" s="18"/>
      <c r="C25" s="20" t="s">
        <v>53</v>
      </c>
      <c r="D25" s="21" t="n">
        <f aca="false">COUNTIF('Screen Inventory'!$F:$F,"M02.02.04")</f>
        <v>1</v>
      </c>
      <c r="E25" s="22" t="s">
        <v>35</v>
      </c>
    </row>
    <row r="26" customFormat="false" ht="15" hidden="false" customHeight="false" outlineLevel="0" collapsed="false">
      <c r="A26" s="18"/>
      <c r="B26" s="18"/>
      <c r="C26" s="20" t="s">
        <v>54</v>
      </c>
      <c r="D26" s="21" t="n">
        <f aca="false">COUNTIF('Screen Inventory'!$F:$F,"M02.02.05")</f>
        <v>1</v>
      </c>
      <c r="E26" s="22" t="s">
        <v>35</v>
      </c>
    </row>
    <row r="27" customFormat="false" ht="15" hidden="false" customHeight="false" outlineLevel="0" collapsed="false">
      <c r="A27" s="18"/>
      <c r="B27" s="18"/>
      <c r="C27" s="20" t="s">
        <v>55</v>
      </c>
      <c r="D27" s="21" t="n">
        <f aca="false">COUNTIF('Screen Inventory'!$F:$F,"M02.02.06")</f>
        <v>1</v>
      </c>
      <c r="E27" s="22" t="s">
        <v>35</v>
      </c>
    </row>
    <row r="28" customFormat="false" ht="15" hidden="false" customHeight="false" outlineLevel="0" collapsed="false">
      <c r="A28" s="18"/>
      <c r="B28" s="19"/>
      <c r="C28" s="20" t="s">
        <v>56</v>
      </c>
      <c r="D28" s="21" t="n">
        <f aca="false">COUNTIF('Screen Inventory'!$F:$F,"M02.02.07")</f>
        <v>1</v>
      </c>
      <c r="E28" s="22" t="s">
        <v>35</v>
      </c>
    </row>
    <row r="29" customFormat="false" ht="15" hidden="false" customHeight="true" outlineLevel="0" collapsed="false">
      <c r="A29" s="18"/>
      <c r="B29" s="19" t="s">
        <v>57</v>
      </c>
      <c r="C29" s="20" t="s">
        <v>58</v>
      </c>
      <c r="D29" s="21" t="n">
        <f aca="false">COUNTIF('Screen Inventory'!$F:$F,"M02.03.01")</f>
        <v>3</v>
      </c>
      <c r="E29" s="22" t="s">
        <v>35</v>
      </c>
    </row>
    <row r="30" customFormat="false" ht="15" hidden="false" customHeight="false" outlineLevel="0" collapsed="false">
      <c r="A30" s="18"/>
      <c r="B30" s="18"/>
      <c r="C30" s="20" t="s">
        <v>59</v>
      </c>
      <c r="D30" s="21" t="n">
        <f aca="false">COUNTIF('Screen Inventory'!$F:$F,"M02.03.02")</f>
        <v>1</v>
      </c>
      <c r="E30" s="22" t="s">
        <v>35</v>
      </c>
    </row>
    <row r="31" customFormat="false" ht="15" hidden="false" customHeight="false" outlineLevel="0" collapsed="false">
      <c r="A31" s="18"/>
      <c r="B31" s="18"/>
      <c r="C31" s="20" t="s">
        <v>60</v>
      </c>
      <c r="D31" s="21" t="n">
        <f aca="false">COUNTIF('Screen Inventory'!$F:$F,"M02.03.03")</f>
        <v>1</v>
      </c>
      <c r="E31" s="22" t="s">
        <v>35</v>
      </c>
    </row>
    <row r="32" customFormat="false" ht="15" hidden="false" customHeight="false" outlineLevel="0" collapsed="false">
      <c r="A32" s="18"/>
      <c r="B32" s="18"/>
      <c r="C32" s="20" t="s">
        <v>61</v>
      </c>
      <c r="D32" s="21" t="n">
        <f aca="false">COUNTIF('Screen Inventory'!$F:$F,"M02.03.04")</f>
        <v>1</v>
      </c>
      <c r="E32" s="22" t="s">
        <v>35</v>
      </c>
    </row>
    <row r="33" customFormat="false" ht="15" hidden="false" customHeight="false" outlineLevel="0" collapsed="false">
      <c r="A33" s="18"/>
      <c r="B33" s="19"/>
      <c r="C33" s="20" t="s">
        <v>62</v>
      </c>
      <c r="D33" s="21" t="n">
        <f aca="false">COUNTIF('Screen Inventory'!$F:$F,"M02.03.05")</f>
        <v>1</v>
      </c>
      <c r="E33" s="22" t="s">
        <v>35</v>
      </c>
    </row>
    <row r="34" customFormat="false" ht="15" hidden="false" customHeight="true" outlineLevel="0" collapsed="false">
      <c r="A34" s="18"/>
      <c r="B34" s="19" t="s">
        <v>63</v>
      </c>
      <c r="C34" s="20" t="s">
        <v>64</v>
      </c>
      <c r="D34" s="21" t="n">
        <f aca="false">COUNTIF('Screen Inventory'!$F:$F,"M02.04.01")</f>
        <v>1</v>
      </c>
      <c r="E34" s="22" t="s">
        <v>35</v>
      </c>
    </row>
    <row r="35" customFormat="false" ht="15" hidden="false" customHeight="false" outlineLevel="0" collapsed="false">
      <c r="A35" s="18"/>
      <c r="B35" s="18"/>
      <c r="C35" s="20" t="s">
        <v>65</v>
      </c>
      <c r="D35" s="21" t="n">
        <f aca="false">COUNTIF('Screen Inventory'!$F:$F,"M02.04.02")</f>
        <v>1</v>
      </c>
      <c r="E35" s="22" t="s">
        <v>35</v>
      </c>
    </row>
    <row r="36" customFormat="false" ht="15" hidden="false" customHeight="true" outlineLevel="0" collapsed="false">
      <c r="A36" s="24" t="s">
        <v>66</v>
      </c>
      <c r="B36" s="25" t="s">
        <v>67</v>
      </c>
      <c r="C36" s="26" t="s">
        <v>68</v>
      </c>
      <c r="D36" s="27" t="n">
        <f aca="false">COUNTIF('Screen Inventory'!$F:$F,"M03.01.01")</f>
        <v>1</v>
      </c>
      <c r="E36" s="28" t="s">
        <v>35</v>
      </c>
    </row>
    <row r="37" customFormat="false" ht="15" hidden="false" customHeight="true" outlineLevel="0" collapsed="false">
      <c r="A37" s="24"/>
      <c r="B37" s="25" t="s">
        <v>69</v>
      </c>
      <c r="C37" s="26" t="s">
        <v>70</v>
      </c>
      <c r="D37" s="27" t="n">
        <f aca="false">COUNTIF('Screen Inventory'!$F:$F,"M03.02.01")</f>
        <v>1</v>
      </c>
      <c r="E37" s="28" t="s">
        <v>35</v>
      </c>
    </row>
    <row r="38" customFormat="false" ht="15" hidden="false" customHeight="false" outlineLevel="0" collapsed="false">
      <c r="A38" s="24"/>
      <c r="B38" s="24"/>
      <c r="C38" s="26" t="s">
        <v>71</v>
      </c>
      <c r="D38" s="27" t="n">
        <f aca="false">COUNTIF('Screen Inventory'!$F:$F,"M03.02.02")</f>
        <v>1</v>
      </c>
      <c r="E38" s="28" t="s">
        <v>35</v>
      </c>
    </row>
    <row r="39" customFormat="false" ht="15" hidden="false" customHeight="false" outlineLevel="0" collapsed="false">
      <c r="A39" s="24"/>
      <c r="B39" s="24"/>
      <c r="C39" s="26" t="s">
        <v>72</v>
      </c>
      <c r="D39" s="27" t="n">
        <f aca="false">COUNTIF('Screen Inventory'!$F:$F,"M03.02.03")</f>
        <v>1</v>
      </c>
      <c r="E39" s="28" t="s">
        <v>35</v>
      </c>
    </row>
    <row r="40" customFormat="false" ht="15" hidden="false" customHeight="false" outlineLevel="0" collapsed="false">
      <c r="A40" s="24"/>
      <c r="B40" s="24"/>
      <c r="C40" s="26" t="s">
        <v>73</v>
      </c>
      <c r="D40" s="27" t="n">
        <f aca="false">COUNTIF('Screen Inventory'!$F:$F,"M03.02.04")</f>
        <v>1</v>
      </c>
      <c r="E40" s="28" t="s">
        <v>35</v>
      </c>
    </row>
    <row r="41" customFormat="false" ht="15" hidden="false" customHeight="false" outlineLevel="0" collapsed="false">
      <c r="A41" s="24"/>
      <c r="B41" s="25"/>
      <c r="C41" s="26" t="s">
        <v>74</v>
      </c>
      <c r="D41" s="27" t="n">
        <f aca="false">COUNTIF('Screen Inventory'!$F:$F,"M03.02.05")</f>
        <v>1</v>
      </c>
      <c r="E41" s="28" t="s">
        <v>35</v>
      </c>
    </row>
    <row r="42" customFormat="false" ht="15" hidden="false" customHeight="true" outlineLevel="0" collapsed="false">
      <c r="A42" s="24"/>
      <c r="B42" s="25" t="s">
        <v>75</v>
      </c>
      <c r="C42" s="26" t="s">
        <v>76</v>
      </c>
      <c r="D42" s="27" t="n">
        <f aca="false">COUNTIF('Screen Inventory'!$F:$F,"M03.03.01")</f>
        <v>0</v>
      </c>
      <c r="E42" s="29"/>
    </row>
    <row r="43" customFormat="false" ht="15" hidden="false" customHeight="false" outlineLevel="0" collapsed="false">
      <c r="A43" s="24"/>
      <c r="B43" s="24"/>
      <c r="C43" s="26" t="s">
        <v>77</v>
      </c>
      <c r="D43" s="27" t="n">
        <f aca="false">COUNTIF('Screen Inventory'!$F:$F,"M03.03.02")</f>
        <v>0</v>
      </c>
      <c r="E43" s="29"/>
    </row>
    <row r="44" customFormat="false" ht="15" hidden="false" customHeight="false" outlineLevel="0" collapsed="false">
      <c r="A44" s="24"/>
      <c r="B44" s="24"/>
      <c r="C44" s="26" t="s">
        <v>78</v>
      </c>
      <c r="D44" s="27" t="n">
        <f aca="false">COUNTIF('Screen Inventory'!$F:$F,"M03.03.03")</f>
        <v>0</v>
      </c>
      <c r="E44" s="29"/>
    </row>
    <row r="45" customFormat="false" ht="15" hidden="false" customHeight="false" outlineLevel="0" collapsed="false">
      <c r="A45" s="24"/>
      <c r="B45" s="25"/>
      <c r="C45" s="26" t="s">
        <v>79</v>
      </c>
      <c r="D45" s="27" t="n">
        <f aca="false">COUNTIF('Screen Inventory'!$F:$F,"M03.03.04")</f>
        <v>0</v>
      </c>
      <c r="E45" s="29"/>
    </row>
    <row r="46" customFormat="false" ht="15" hidden="false" customHeight="true" outlineLevel="0" collapsed="false">
      <c r="A46" s="24"/>
      <c r="B46" s="25" t="s">
        <v>80</v>
      </c>
      <c r="C46" s="26" t="s">
        <v>81</v>
      </c>
      <c r="D46" s="27" t="n">
        <f aca="false">COUNTIF('Screen Inventory'!$F:$F,"M03.04.01")</f>
        <v>1</v>
      </c>
      <c r="E46" s="28" t="s">
        <v>35</v>
      </c>
    </row>
    <row r="47" customFormat="false" ht="15" hidden="false" customHeight="false" outlineLevel="0" collapsed="false">
      <c r="A47" s="24"/>
      <c r="B47" s="25"/>
      <c r="C47" s="26" t="s">
        <v>82</v>
      </c>
      <c r="D47" s="27" t="n">
        <f aca="false">COUNTIF('Screen Inventory'!$F:$F,"M03.04.02")</f>
        <v>1</v>
      </c>
      <c r="E47" s="28" t="s">
        <v>35</v>
      </c>
    </row>
    <row r="48" customFormat="false" ht="15" hidden="false" customHeight="true" outlineLevel="0" collapsed="false">
      <c r="A48" s="24"/>
      <c r="B48" s="25" t="s">
        <v>83</v>
      </c>
      <c r="C48" s="26" t="s">
        <v>84</v>
      </c>
      <c r="D48" s="27" t="n">
        <f aca="false">COUNTIF('Screen Inventory'!$F:$F,"M03.05.01")</f>
        <v>1</v>
      </c>
      <c r="E48" s="28" t="s">
        <v>35</v>
      </c>
    </row>
    <row r="49" customFormat="false" ht="15" hidden="false" customHeight="false" outlineLevel="0" collapsed="false">
      <c r="A49" s="24"/>
      <c r="B49" s="25"/>
      <c r="C49" s="26" t="s">
        <v>85</v>
      </c>
      <c r="D49" s="27" t="n">
        <f aca="false">COUNTIF('Screen Inventory'!$F:$F,"M03.05.02")</f>
        <v>1</v>
      </c>
      <c r="E49" s="28" t="s">
        <v>35</v>
      </c>
    </row>
    <row r="50" customFormat="false" ht="15" hidden="false" customHeight="true" outlineLevel="0" collapsed="false">
      <c r="A50" s="24"/>
      <c r="B50" s="25" t="s">
        <v>86</v>
      </c>
      <c r="C50" s="26" t="s">
        <v>87</v>
      </c>
      <c r="D50" s="27" t="n">
        <f aca="false">COUNTIF('Screen Inventory'!$F:$F,"M03.06.01")</f>
        <v>1</v>
      </c>
      <c r="E50" s="28" t="s">
        <v>35</v>
      </c>
    </row>
    <row r="51" customFormat="false" ht="15" hidden="false" customHeight="false" outlineLevel="0" collapsed="false">
      <c r="A51" s="24"/>
      <c r="B51" s="24"/>
      <c r="C51" s="26" t="s">
        <v>88</v>
      </c>
      <c r="D51" s="27" t="n">
        <f aca="false">COUNTIF('Screen Inventory'!$F:$F,"M03.06.02")</f>
        <v>1</v>
      </c>
      <c r="E51" s="28" t="s">
        <v>35</v>
      </c>
    </row>
    <row r="52" customFormat="false" ht="15" hidden="false" customHeight="false" outlineLevel="0" collapsed="false">
      <c r="A52" s="24"/>
      <c r="B52" s="25"/>
      <c r="C52" s="26" t="s">
        <v>89</v>
      </c>
      <c r="D52" s="27" t="n">
        <f aca="false">COUNTIF('Screen Inventory'!$F:$F,"M03.06.03")</f>
        <v>1</v>
      </c>
      <c r="E52" s="28" t="s">
        <v>35</v>
      </c>
    </row>
    <row r="53" customFormat="false" ht="15" hidden="false" customHeight="true" outlineLevel="0" collapsed="false">
      <c r="A53" s="24"/>
      <c r="B53" s="25" t="s">
        <v>90</v>
      </c>
      <c r="C53" s="26" t="s">
        <v>91</v>
      </c>
      <c r="D53" s="27" t="n">
        <f aca="false">COUNTIF('Screen Inventory'!$F:$F,"M03.07.01")</f>
        <v>1</v>
      </c>
      <c r="E53" s="28" t="s">
        <v>35</v>
      </c>
    </row>
    <row r="54" customFormat="false" ht="15" hidden="false" customHeight="false" outlineLevel="0" collapsed="false">
      <c r="A54" s="24"/>
      <c r="B54" s="24"/>
      <c r="C54" s="26" t="s">
        <v>92</v>
      </c>
      <c r="D54" s="27" t="n">
        <f aca="false">COUNTIF('Screen Inventory'!$F:$F,"M03.07.02")</f>
        <v>1</v>
      </c>
      <c r="E54" s="28" t="s">
        <v>35</v>
      </c>
    </row>
    <row r="55" customFormat="false" ht="15" hidden="false" customHeight="false" outlineLevel="0" collapsed="false">
      <c r="A55" s="24"/>
      <c r="B55" s="25"/>
      <c r="C55" s="26" t="s">
        <v>93</v>
      </c>
      <c r="D55" s="27" t="n">
        <f aca="false">COUNTIF('Screen Inventory'!$F:$F,"M03.07.03")</f>
        <v>1</v>
      </c>
      <c r="E55" s="28" t="s">
        <v>35</v>
      </c>
    </row>
    <row r="56" customFormat="false" ht="15" hidden="false" customHeight="false" outlineLevel="0" collapsed="false">
      <c r="A56" s="24"/>
      <c r="B56" s="25" t="s">
        <v>94</v>
      </c>
      <c r="C56" s="26" t="s">
        <v>95</v>
      </c>
      <c r="D56" s="27" t="n">
        <f aca="false">COUNTIF('Screen Inventory'!$F:$F,"M03.08.01")</f>
        <v>1</v>
      </c>
      <c r="E56" s="28" t="s">
        <v>35</v>
      </c>
    </row>
    <row r="57" customFormat="false" ht="15" hidden="false" customHeight="true" outlineLevel="0" collapsed="false">
      <c r="A57" s="24"/>
      <c r="B57" s="25" t="s">
        <v>96</v>
      </c>
      <c r="C57" s="26" t="s">
        <v>97</v>
      </c>
      <c r="D57" s="27" t="n">
        <f aca="false">COUNTIF('Screen Inventory'!$F:$F,"M03.09.01")</f>
        <v>1</v>
      </c>
      <c r="E57" s="28" t="s">
        <v>35</v>
      </c>
    </row>
    <row r="58" customFormat="false" ht="15" hidden="false" customHeight="false" outlineLevel="0" collapsed="false">
      <c r="A58" s="24"/>
      <c r="B58" s="24"/>
      <c r="C58" s="26" t="s">
        <v>98</v>
      </c>
      <c r="D58" s="27" t="n">
        <f aca="false">COUNTIF('Screen Inventory'!$F:$F,"M03.09.02")</f>
        <v>1</v>
      </c>
      <c r="E58" s="28" t="s">
        <v>35</v>
      </c>
    </row>
    <row r="59" customFormat="false" ht="15" hidden="false" customHeight="false" outlineLevel="0" collapsed="false">
      <c r="A59" s="24"/>
      <c r="B59" s="24"/>
      <c r="C59" s="26" t="s">
        <v>99</v>
      </c>
      <c r="D59" s="27" t="n">
        <f aca="false">COUNTIF('Screen Inventory'!$F:$F,"M03.09.03")</f>
        <v>1</v>
      </c>
      <c r="E59" s="28" t="s">
        <v>35</v>
      </c>
    </row>
    <row r="60" customFormat="false" ht="15" hidden="false" customHeight="false" outlineLevel="0" collapsed="false">
      <c r="A60" s="24"/>
      <c r="B60" s="24"/>
      <c r="C60" s="26" t="s">
        <v>100</v>
      </c>
      <c r="D60" s="27" t="n">
        <f aca="false">COUNTIF('Screen Inventory'!$F:$F,"M03.09.04")</f>
        <v>1</v>
      </c>
      <c r="E60" s="28" t="s">
        <v>35</v>
      </c>
    </row>
    <row r="61" customFormat="false" ht="15" hidden="false" customHeight="false" outlineLevel="0" collapsed="false">
      <c r="A61" s="24"/>
      <c r="B61" s="24"/>
      <c r="C61" s="26" t="s">
        <v>101</v>
      </c>
      <c r="D61" s="27" t="n">
        <f aca="false">COUNTIF('Screen Inventory'!$F:$F,"M03.09.05")</f>
        <v>1</v>
      </c>
      <c r="E61" s="28" t="s">
        <v>35</v>
      </c>
    </row>
    <row r="62" customFormat="false" ht="15" hidden="false" customHeight="false" outlineLevel="0" collapsed="false">
      <c r="A62" s="24"/>
      <c r="B62" s="24"/>
      <c r="C62" s="26" t="s">
        <v>102</v>
      </c>
      <c r="D62" s="27" t="n">
        <f aca="false">COUNTIF('Screen Inventory'!$F:$F,"M03.09.06")</f>
        <v>1</v>
      </c>
      <c r="E62" s="28" t="s">
        <v>35</v>
      </c>
    </row>
    <row r="63" customFormat="false" ht="15" hidden="false" customHeight="false" outlineLevel="0" collapsed="false">
      <c r="A63" s="24"/>
      <c r="B63" s="24"/>
      <c r="C63" s="26" t="s">
        <v>103</v>
      </c>
      <c r="D63" s="27" t="n">
        <f aca="false">COUNTIF('Screen Inventory'!$F:$F,"M03.09.07")</f>
        <v>3</v>
      </c>
      <c r="E63" s="28" t="s">
        <v>35</v>
      </c>
    </row>
    <row r="64" customFormat="false" ht="15" hidden="false" customHeight="false" outlineLevel="0" collapsed="false">
      <c r="A64" s="24"/>
      <c r="B64" s="24"/>
      <c r="C64" s="26" t="s">
        <v>104</v>
      </c>
      <c r="D64" s="27" t="n">
        <f aca="false">COUNTIF('Screen Inventory'!$F:$F,"M03.09.08")</f>
        <v>1</v>
      </c>
      <c r="E64" s="28" t="s">
        <v>35</v>
      </c>
    </row>
    <row r="65" customFormat="false" ht="15" hidden="false" customHeight="false" outlineLevel="0" collapsed="false">
      <c r="A65" s="24"/>
      <c r="B65" s="25"/>
      <c r="C65" s="26" t="s">
        <v>105</v>
      </c>
      <c r="D65" s="27" t="n">
        <f aca="false">COUNTIF('Screen Inventory'!$F:$F,"M03.09.09")</f>
        <v>1</v>
      </c>
      <c r="E65" s="28" t="s">
        <v>35</v>
      </c>
    </row>
    <row r="66" customFormat="false" ht="15" hidden="false" customHeight="true" outlineLevel="0" collapsed="false">
      <c r="A66" s="24"/>
      <c r="B66" s="25" t="s">
        <v>106</v>
      </c>
      <c r="C66" s="26" t="s">
        <v>107</v>
      </c>
      <c r="D66" s="27" t="n">
        <f aca="false">COUNTIF('Screen Inventory'!$F:$F,"M03.10.01")</f>
        <v>2</v>
      </c>
      <c r="E66" s="28" t="s">
        <v>35</v>
      </c>
    </row>
    <row r="67" customFormat="false" ht="15" hidden="false" customHeight="false" outlineLevel="0" collapsed="false">
      <c r="A67" s="24"/>
      <c r="B67" s="24"/>
      <c r="C67" s="26" t="s">
        <v>108</v>
      </c>
      <c r="D67" s="27" t="n">
        <f aca="false">COUNTIF('Screen Inventory'!$F:$F,"M03.10.02")</f>
        <v>2</v>
      </c>
      <c r="E67" s="28" t="s">
        <v>35</v>
      </c>
    </row>
    <row r="68" customFormat="false" ht="15" hidden="false" customHeight="false" outlineLevel="0" collapsed="false">
      <c r="A68" s="24"/>
      <c r="B68" s="24"/>
      <c r="C68" s="26" t="s">
        <v>109</v>
      </c>
      <c r="D68" s="27" t="n">
        <f aca="false">COUNTIF('Screen Inventory'!$F:$F,"M03.10.03")</f>
        <v>1</v>
      </c>
      <c r="E68" s="28" t="s">
        <v>35</v>
      </c>
    </row>
    <row r="69" customFormat="false" ht="15" hidden="false" customHeight="false" outlineLevel="0" collapsed="false">
      <c r="A69" s="24"/>
      <c r="B69" s="24"/>
      <c r="C69" s="26" t="s">
        <v>110</v>
      </c>
      <c r="D69" s="27" t="n">
        <f aca="false">COUNTIF('Screen Inventory'!$F:$F,"M03.10.04")</f>
        <v>3</v>
      </c>
      <c r="E69" s="28" t="s">
        <v>35</v>
      </c>
    </row>
    <row r="70" customFormat="false" ht="15" hidden="false" customHeight="false" outlineLevel="0" collapsed="false">
      <c r="A70" s="24"/>
      <c r="B70" s="24"/>
      <c r="C70" s="26" t="s">
        <v>111</v>
      </c>
      <c r="D70" s="27" t="n">
        <f aca="false">COUNTIF('Screen Inventory'!$F:$F,"M03.10.05")</f>
        <v>3</v>
      </c>
      <c r="E70" s="28" t="s">
        <v>35</v>
      </c>
    </row>
    <row r="71" customFormat="false" ht="15" hidden="false" customHeight="true" outlineLevel="0" collapsed="false">
      <c r="A71" s="30" t="s">
        <v>112</v>
      </c>
      <c r="B71" s="31" t="s">
        <v>113</v>
      </c>
      <c r="C71" s="32" t="s">
        <v>114</v>
      </c>
      <c r="D71" s="33" t="n">
        <f aca="false">COUNTIF('Screen Inventory'!$F:$F,"M04.01.01")</f>
        <v>1</v>
      </c>
      <c r="E71" s="34" t="s">
        <v>35</v>
      </c>
    </row>
    <row r="72" customFormat="false" ht="15" hidden="false" customHeight="false" outlineLevel="0" collapsed="false">
      <c r="A72" s="30"/>
      <c r="B72" s="30"/>
      <c r="C72" s="32" t="s">
        <v>115</v>
      </c>
      <c r="D72" s="33" t="n">
        <f aca="false">COUNTIF('Screen Inventory'!$F:$F,"M04.01.02")</f>
        <v>1</v>
      </c>
      <c r="E72" s="34" t="s">
        <v>35</v>
      </c>
    </row>
    <row r="73" customFormat="false" ht="15" hidden="false" customHeight="false" outlineLevel="0" collapsed="false">
      <c r="A73" s="30"/>
      <c r="B73" s="30"/>
      <c r="C73" s="32" t="s">
        <v>116</v>
      </c>
      <c r="D73" s="33" t="n">
        <f aca="false">COUNTIF('Screen Inventory'!$F:$F,"M04.01.03")</f>
        <v>1</v>
      </c>
      <c r="E73" s="34" t="s">
        <v>35</v>
      </c>
    </row>
    <row r="74" customFormat="false" ht="15" hidden="false" customHeight="false" outlineLevel="0" collapsed="false">
      <c r="A74" s="30"/>
      <c r="B74" s="30"/>
      <c r="C74" s="32" t="s">
        <v>117</v>
      </c>
      <c r="D74" s="33" t="n">
        <f aca="false">COUNTIF('Screen Inventory'!$F:$F,"M04.01.04")</f>
        <v>1</v>
      </c>
      <c r="E74" s="34" t="s">
        <v>35</v>
      </c>
    </row>
    <row r="75" customFormat="false" ht="15" hidden="false" customHeight="false" outlineLevel="0" collapsed="false">
      <c r="A75" s="30"/>
      <c r="B75" s="31"/>
      <c r="C75" s="32" t="s">
        <v>118</v>
      </c>
      <c r="D75" s="33" t="n">
        <f aca="false">COUNTIF('Screen Inventory'!$F:$F,"M04.01.05")</f>
        <v>1</v>
      </c>
      <c r="E75" s="34" t="s">
        <v>35</v>
      </c>
    </row>
    <row r="76" customFormat="false" ht="15" hidden="false" customHeight="false" outlineLevel="0" collapsed="false">
      <c r="A76" s="30"/>
      <c r="B76" s="31" t="s">
        <v>119</v>
      </c>
      <c r="C76" s="32" t="s">
        <v>120</v>
      </c>
      <c r="D76" s="33" t="n">
        <f aca="false">COUNTIF('Screen Inventory'!$F:$F,"M04.02.01")</f>
        <v>1</v>
      </c>
      <c r="E76" s="34" t="s">
        <v>35</v>
      </c>
    </row>
    <row r="77" customFormat="false" ht="15" hidden="false" customHeight="true" outlineLevel="0" collapsed="false">
      <c r="A77" s="35" t="s">
        <v>121</v>
      </c>
      <c r="B77" s="36" t="s">
        <v>122</v>
      </c>
      <c r="C77" s="37" t="s">
        <v>123</v>
      </c>
      <c r="D77" s="38" t="n">
        <f aca="false">COUNTIF('Screen Inventory'!$F:$F,"M05.01.01")</f>
        <v>1</v>
      </c>
      <c r="E77" s="39" t="s">
        <v>35</v>
      </c>
    </row>
    <row r="78" customFormat="false" ht="15" hidden="false" customHeight="false" outlineLevel="0" collapsed="false">
      <c r="A78" s="35"/>
      <c r="B78" s="35"/>
      <c r="C78" s="37" t="s">
        <v>124</v>
      </c>
      <c r="D78" s="38" t="n">
        <f aca="false">COUNTIF('Screen Inventory'!$F:$F,"M05.01.02")</f>
        <v>1</v>
      </c>
      <c r="E78" s="39" t="s">
        <v>35</v>
      </c>
    </row>
    <row r="79" customFormat="false" ht="15" hidden="false" customHeight="false" outlineLevel="0" collapsed="false">
      <c r="A79" s="35"/>
      <c r="B79" s="35"/>
      <c r="C79" s="37" t="s">
        <v>125</v>
      </c>
      <c r="D79" s="38" t="n">
        <f aca="false">COUNTIF('Screen Inventory'!$F:$F,"M05.01.03")</f>
        <v>1</v>
      </c>
      <c r="E79" s="39" t="s">
        <v>35</v>
      </c>
    </row>
    <row r="80" customFormat="false" ht="15" hidden="false" customHeight="false" outlineLevel="0" collapsed="false">
      <c r="A80" s="35"/>
      <c r="B80" s="35"/>
      <c r="C80" s="37" t="s">
        <v>126</v>
      </c>
      <c r="D80" s="38" t="n">
        <f aca="false">COUNTIF('Screen Inventory'!$F:$F,"M05.01.04")</f>
        <v>1</v>
      </c>
      <c r="E80" s="39" t="s">
        <v>35</v>
      </c>
    </row>
    <row r="81" customFormat="false" ht="15" hidden="false" customHeight="false" outlineLevel="0" collapsed="false">
      <c r="A81" s="35"/>
      <c r="B81" s="35"/>
      <c r="C81" s="37" t="s">
        <v>127</v>
      </c>
      <c r="D81" s="38" t="n">
        <f aca="false">COUNTIF('Screen Inventory'!$F:$F,"M05.01.05")</f>
        <v>1</v>
      </c>
      <c r="E81" s="39" t="s">
        <v>35</v>
      </c>
    </row>
    <row r="82" customFormat="false" ht="15" hidden="false" customHeight="false" outlineLevel="0" collapsed="false">
      <c r="A82" s="35"/>
      <c r="B82" s="36"/>
      <c r="C82" s="37" t="s">
        <v>128</v>
      </c>
      <c r="D82" s="38" t="n">
        <f aca="false">COUNTIF('Screen Inventory'!$F:$F,"M05.01.06")</f>
        <v>1</v>
      </c>
      <c r="E82" s="39" t="s">
        <v>35</v>
      </c>
    </row>
    <row r="83" customFormat="false" ht="15" hidden="false" customHeight="true" outlineLevel="0" collapsed="false">
      <c r="A83" s="35"/>
      <c r="B83" s="36" t="s">
        <v>129</v>
      </c>
      <c r="C83" s="37" t="s">
        <v>130</v>
      </c>
      <c r="D83" s="38" t="n">
        <f aca="false">COUNTIF('Screen Inventory'!$F:$F,"M05.02.01")</f>
        <v>1</v>
      </c>
      <c r="E83" s="39" t="s">
        <v>35</v>
      </c>
    </row>
    <row r="84" customFormat="false" ht="15" hidden="false" customHeight="false" outlineLevel="0" collapsed="false">
      <c r="A84" s="35"/>
      <c r="B84" s="35"/>
      <c r="C84" s="37" t="s">
        <v>131</v>
      </c>
      <c r="D84" s="38" t="n">
        <f aca="false">COUNTIF('Screen Inventory'!$F:$F,"M05.02.02")</f>
        <v>1</v>
      </c>
      <c r="E84" s="39" t="s">
        <v>35</v>
      </c>
    </row>
    <row r="85" customFormat="false" ht="15" hidden="false" customHeight="false" outlineLevel="0" collapsed="false">
      <c r="A85" s="35"/>
      <c r="B85" s="35"/>
      <c r="C85" s="37" t="s">
        <v>132</v>
      </c>
      <c r="D85" s="38" t="n">
        <f aca="false">COUNTIF('Screen Inventory'!$F:$F,"M05.02.03")</f>
        <v>1</v>
      </c>
      <c r="E85" s="39" t="s">
        <v>35</v>
      </c>
    </row>
    <row r="86" customFormat="false" ht="15" hidden="false" customHeight="false" outlineLevel="0" collapsed="false">
      <c r="A86" s="35"/>
      <c r="B86" s="35"/>
      <c r="C86" s="37" t="s">
        <v>133</v>
      </c>
      <c r="D86" s="38" t="n">
        <f aca="false">COUNTIF('Screen Inventory'!$F:$F,"M05.02.04")</f>
        <v>1</v>
      </c>
      <c r="E86" s="39" t="s">
        <v>35</v>
      </c>
    </row>
    <row r="87" customFormat="false" ht="15" hidden="false" customHeight="false" outlineLevel="0" collapsed="false">
      <c r="A87" s="35"/>
      <c r="B87" s="35"/>
      <c r="C87" s="37" t="s">
        <v>134</v>
      </c>
      <c r="D87" s="38" t="n">
        <f aca="false">COUNTIF('Screen Inventory'!$F:$F,"M05.02.05")</f>
        <v>1</v>
      </c>
      <c r="E87" s="39" t="s">
        <v>35</v>
      </c>
    </row>
    <row r="88" customFormat="false" ht="15" hidden="false" customHeight="false" outlineLevel="0" collapsed="false">
      <c r="C88" s="5" t="s">
        <v>135</v>
      </c>
      <c r="D88" s="40" t="n">
        <f aca="false">SUM(D5:D87)</f>
        <v>83</v>
      </c>
    </row>
    <row r="89" customFormat="false" ht="15" hidden="false" customHeight="false" outlineLevel="0" collapsed="false">
      <c r="A89" s="41" t="s">
        <v>136</v>
      </c>
    </row>
  </sheetData>
  <mergeCells count="25">
    <mergeCell ref="A1:E1"/>
    <mergeCell ref="A2:E2"/>
    <mergeCell ref="A5:A9"/>
    <mergeCell ref="B5:B9"/>
    <mergeCell ref="A10:A15"/>
    <mergeCell ref="B10:B15"/>
    <mergeCell ref="A16:A35"/>
    <mergeCell ref="B16:B21"/>
    <mergeCell ref="B22:B28"/>
    <mergeCell ref="B29:B33"/>
    <mergeCell ref="B34:B35"/>
    <mergeCell ref="A36:A70"/>
    <mergeCell ref="B37:B41"/>
    <mergeCell ref="B42:B45"/>
    <mergeCell ref="B46:B47"/>
    <mergeCell ref="B48:B49"/>
    <mergeCell ref="B50:B52"/>
    <mergeCell ref="B53:B55"/>
    <mergeCell ref="B57:B65"/>
    <mergeCell ref="B66:B70"/>
    <mergeCell ref="A71:A76"/>
    <mergeCell ref="B71:B75"/>
    <mergeCell ref="A77:A87"/>
    <mergeCell ref="B77:B82"/>
    <mergeCell ref="B83:B87"/>
  </mergeCells>
  <hyperlinks>
    <hyperlink ref="E10" r:id="rId1" display="Open"/>
    <hyperlink ref="E16" r:id="rId2" display="Open"/>
    <hyperlink ref="E17" r:id="rId3" display="Open"/>
    <hyperlink ref="E18" r:id="rId4" display="Open"/>
    <hyperlink ref="E19" r:id="rId5" display="Open"/>
    <hyperlink ref="E22" r:id="rId6" display="Open"/>
    <hyperlink ref="E23" r:id="rId7" display="Open"/>
    <hyperlink ref="E24" r:id="rId8" display="Open"/>
    <hyperlink ref="E25" r:id="rId9" display="Open"/>
    <hyperlink ref="E26" r:id="rId10" display="Open"/>
    <hyperlink ref="E27" r:id="rId11" display="Open"/>
    <hyperlink ref="E28" r:id="rId12" display="Open"/>
    <hyperlink ref="E29" r:id="rId13" display="Open"/>
    <hyperlink ref="E30" r:id="rId14" display="Open"/>
    <hyperlink ref="E31" r:id="rId15" display="Open"/>
    <hyperlink ref="E32" r:id="rId16" display="Open"/>
    <hyperlink ref="E33" r:id="rId17" display="Open"/>
    <hyperlink ref="E34" r:id="rId18" display="Open"/>
    <hyperlink ref="E35" r:id="rId19" display="Open"/>
    <hyperlink ref="E36" r:id="rId20" display="Open"/>
    <hyperlink ref="E37" r:id="rId21" display="Open"/>
    <hyperlink ref="E38" r:id="rId22" display="Open"/>
    <hyperlink ref="E39" r:id="rId23" display="Open"/>
    <hyperlink ref="E40" r:id="rId24" display="Open"/>
    <hyperlink ref="E41" r:id="rId25" display="Open"/>
    <hyperlink ref="E46" r:id="rId26" display="Open"/>
    <hyperlink ref="E47" r:id="rId27" display="Open"/>
    <hyperlink ref="E48" r:id="rId28" display="Open"/>
    <hyperlink ref="E49" r:id="rId29" display="Open"/>
    <hyperlink ref="E50" r:id="rId30" display="Open"/>
    <hyperlink ref="E51" r:id="rId31" display="Open"/>
    <hyperlink ref="E52" r:id="rId32" display="Open"/>
    <hyperlink ref="E53" r:id="rId33" display="Open"/>
    <hyperlink ref="E54" r:id="rId34" display="Open"/>
    <hyperlink ref="E55" r:id="rId35" display="Open"/>
    <hyperlink ref="E56" r:id="rId36" display="Open"/>
    <hyperlink ref="E57" r:id="rId37" display="Open"/>
    <hyperlink ref="E58" r:id="rId38" display="Open"/>
    <hyperlink ref="E59" r:id="rId39" display="Open"/>
    <hyperlink ref="E60" r:id="rId40" display="Open"/>
    <hyperlink ref="E61" r:id="rId41" display="Open"/>
    <hyperlink ref="E62" r:id="rId42" display="Open"/>
    <hyperlink ref="E63" r:id="rId43" display="Open"/>
    <hyperlink ref="E64" r:id="rId44" display="Open"/>
    <hyperlink ref="E65" r:id="rId45" display="Open"/>
    <hyperlink ref="E66" r:id="rId46" display="Open"/>
    <hyperlink ref="E67" r:id="rId47" display="Open"/>
    <hyperlink ref="E68" r:id="rId48" display="Open"/>
    <hyperlink ref="E69" r:id="rId49" display="Open"/>
    <hyperlink ref="E70" r:id="rId50" display="Open"/>
    <hyperlink ref="E71" r:id="rId51" display="Open"/>
    <hyperlink ref="E72" r:id="rId52" display="Open"/>
    <hyperlink ref="E73" r:id="rId53" display="Open"/>
    <hyperlink ref="E74" r:id="rId54" display="Open"/>
    <hyperlink ref="E75" r:id="rId55" display="Open"/>
    <hyperlink ref="E76" r:id="rId56" display="Open"/>
    <hyperlink ref="E77" r:id="rId57" display="Open"/>
    <hyperlink ref="E78" r:id="rId58" display="Open"/>
    <hyperlink ref="E79" r:id="rId59" display="Open"/>
    <hyperlink ref="E80" r:id="rId60" display="Open"/>
    <hyperlink ref="E81" r:id="rId61" display="Open"/>
    <hyperlink ref="E82" r:id="rId62" display="Open"/>
    <hyperlink ref="E83" r:id="rId63" display="Open"/>
    <hyperlink ref="E84" r:id="rId64" display="Open"/>
    <hyperlink ref="E85" r:id="rId65" display="Open"/>
    <hyperlink ref="E86" r:id="rId66" display="Open"/>
    <hyperlink ref="E87" r:id="rId67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6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1" t="s">
        <v>137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138</v>
      </c>
      <c r="B4" s="3" t="s">
        <v>139</v>
      </c>
      <c r="C4" s="3" t="s">
        <v>3</v>
      </c>
      <c r="D4" s="3" t="s">
        <v>22</v>
      </c>
      <c r="E4" s="3" t="s">
        <v>23</v>
      </c>
      <c r="F4" s="3" t="s">
        <v>140</v>
      </c>
      <c r="G4" s="3" t="s">
        <v>6</v>
      </c>
      <c r="H4" s="3" t="s">
        <v>141</v>
      </c>
      <c r="I4" s="3" t="s">
        <v>142</v>
      </c>
    </row>
    <row r="5" customFormat="false" ht="23.85" hidden="false" customHeight="false" outlineLevel="0" collapsed="false">
      <c r="A5" s="42" t="s">
        <v>7</v>
      </c>
      <c r="B5" s="42" t="s">
        <v>3</v>
      </c>
      <c r="C5" s="42" t="s">
        <v>8</v>
      </c>
      <c r="D5" s="42"/>
      <c r="E5" s="42"/>
      <c r="F5" s="42" t="s">
        <v>143</v>
      </c>
      <c r="G5" s="43" t="n">
        <f aca="false">COUNTIF('Screen Inventory'!$B:$B,"M00")</f>
        <v>0</v>
      </c>
      <c r="H5" s="42"/>
      <c r="I5" s="42"/>
    </row>
    <row r="6" customFormat="false" ht="15" hidden="false" customHeight="false" outlineLevel="0" collapsed="false">
      <c r="A6" s="44" t="s">
        <v>144</v>
      </c>
      <c r="B6" s="44" t="s">
        <v>22</v>
      </c>
      <c r="C6" s="44" t="s">
        <v>8</v>
      </c>
      <c r="D6" s="44" t="s">
        <v>145</v>
      </c>
      <c r="E6" s="44"/>
      <c r="F6" s="44" t="s">
        <v>146</v>
      </c>
      <c r="G6" s="45" t="n">
        <f aca="false">COUNTIF('Screen Inventory'!$D:$D,"M00.01")</f>
        <v>0</v>
      </c>
      <c r="H6" s="44"/>
      <c r="I6" s="44"/>
    </row>
    <row r="7" customFormat="false" ht="15" hidden="false" customHeight="false" outlineLevel="0" collapsed="false">
      <c r="A7" s="46" t="s">
        <v>147</v>
      </c>
      <c r="B7" s="46" t="s">
        <v>23</v>
      </c>
      <c r="C7" s="46" t="s">
        <v>8</v>
      </c>
      <c r="D7" s="46" t="s">
        <v>145</v>
      </c>
      <c r="E7" s="46" t="s">
        <v>148</v>
      </c>
      <c r="F7" s="46" t="s">
        <v>149</v>
      </c>
      <c r="G7" s="47" t="n">
        <f aca="false">COUNTIF('Screen Inventory'!$F:$F,"M00.01.01")</f>
        <v>0</v>
      </c>
      <c r="H7" s="46"/>
      <c r="I7" s="46" t="s">
        <v>150</v>
      </c>
    </row>
    <row r="8" customFormat="false" ht="15" hidden="false" customHeight="false" outlineLevel="0" collapsed="false">
      <c r="A8" s="46" t="s">
        <v>151</v>
      </c>
      <c r="B8" s="46" t="s">
        <v>23</v>
      </c>
      <c r="C8" s="46" t="s">
        <v>8</v>
      </c>
      <c r="D8" s="46" t="s">
        <v>145</v>
      </c>
      <c r="E8" s="46" t="s">
        <v>152</v>
      </c>
      <c r="F8" s="46" t="s">
        <v>153</v>
      </c>
      <c r="G8" s="47" t="n">
        <f aca="false">COUNTIF('Screen Inventory'!$F:$F,"M00.01.02")</f>
        <v>0</v>
      </c>
      <c r="H8" s="46"/>
      <c r="I8" s="46" t="s">
        <v>150</v>
      </c>
    </row>
    <row r="9" customFormat="false" ht="15" hidden="false" customHeight="false" outlineLevel="0" collapsed="false">
      <c r="A9" s="46" t="s">
        <v>154</v>
      </c>
      <c r="B9" s="46" t="s">
        <v>23</v>
      </c>
      <c r="C9" s="46" t="s">
        <v>8</v>
      </c>
      <c r="D9" s="46" t="s">
        <v>145</v>
      </c>
      <c r="E9" s="46" t="s">
        <v>155</v>
      </c>
      <c r="F9" s="46" t="s">
        <v>156</v>
      </c>
      <c r="G9" s="47" t="n">
        <f aca="false">COUNTIF('Screen Inventory'!$F:$F,"M00.01.03")</f>
        <v>0</v>
      </c>
      <c r="H9" s="46"/>
      <c r="I9" s="46" t="s">
        <v>150</v>
      </c>
    </row>
    <row r="10" customFormat="false" ht="15" hidden="false" customHeight="false" outlineLevel="0" collapsed="false">
      <c r="A10" s="46" t="s">
        <v>157</v>
      </c>
      <c r="B10" s="46" t="s">
        <v>23</v>
      </c>
      <c r="C10" s="46" t="s">
        <v>8</v>
      </c>
      <c r="D10" s="46" t="s">
        <v>145</v>
      </c>
      <c r="E10" s="46" t="s">
        <v>158</v>
      </c>
      <c r="F10" s="46" t="s">
        <v>159</v>
      </c>
      <c r="G10" s="47" t="n">
        <f aca="false">COUNTIF('Screen Inventory'!$F:$F,"M00.01.04")</f>
        <v>0</v>
      </c>
      <c r="H10" s="46"/>
      <c r="I10" s="46" t="s">
        <v>150</v>
      </c>
    </row>
    <row r="11" customFormat="false" ht="15" hidden="false" customHeight="false" outlineLevel="0" collapsed="false">
      <c r="A11" s="46" t="s">
        <v>160</v>
      </c>
      <c r="B11" s="46" t="s">
        <v>23</v>
      </c>
      <c r="C11" s="46" t="s">
        <v>8</v>
      </c>
      <c r="D11" s="46" t="s">
        <v>145</v>
      </c>
      <c r="E11" s="46" t="s">
        <v>161</v>
      </c>
      <c r="F11" s="46" t="s">
        <v>162</v>
      </c>
      <c r="G11" s="47" t="n">
        <f aca="false">COUNTIF('Screen Inventory'!$F:$F,"M00.01.05")</f>
        <v>0</v>
      </c>
      <c r="H11" s="46"/>
      <c r="I11" s="46" t="s">
        <v>150</v>
      </c>
    </row>
    <row r="12" customFormat="false" ht="15" hidden="false" customHeight="false" outlineLevel="0" collapsed="false">
      <c r="A12" s="48" t="s">
        <v>9</v>
      </c>
      <c r="B12" s="48" t="s">
        <v>3</v>
      </c>
      <c r="C12" s="48" t="s">
        <v>10</v>
      </c>
      <c r="D12" s="48"/>
      <c r="E12" s="48"/>
      <c r="F12" s="48" t="s">
        <v>163</v>
      </c>
      <c r="G12" s="49" t="n">
        <f aca="false">COUNTIF('Screen Inventory'!$B:$B,"M01")</f>
        <v>1</v>
      </c>
      <c r="H12" s="48"/>
      <c r="I12" s="48"/>
    </row>
    <row r="13" customFormat="false" ht="15" hidden="false" customHeight="false" outlineLevel="0" collapsed="false">
      <c r="A13" s="44" t="s">
        <v>164</v>
      </c>
      <c r="B13" s="44" t="s">
        <v>22</v>
      </c>
      <c r="C13" s="44" t="s">
        <v>10</v>
      </c>
      <c r="D13" s="44" t="s">
        <v>165</v>
      </c>
      <c r="E13" s="44"/>
      <c r="F13" s="44" t="s">
        <v>166</v>
      </c>
      <c r="G13" s="45" t="n">
        <f aca="false">COUNTIF('Screen Inventory'!$D:$D,"M01.01")</f>
        <v>1</v>
      </c>
      <c r="H13" s="44"/>
      <c r="I13" s="44"/>
    </row>
    <row r="14" customFormat="false" ht="15" hidden="false" customHeight="false" outlineLevel="0" collapsed="false">
      <c r="A14" s="46" t="s">
        <v>167</v>
      </c>
      <c r="B14" s="46" t="s">
        <v>23</v>
      </c>
      <c r="C14" s="46" t="s">
        <v>10</v>
      </c>
      <c r="D14" s="46" t="s">
        <v>165</v>
      </c>
      <c r="E14" s="46" t="s">
        <v>168</v>
      </c>
      <c r="F14" s="46" t="s">
        <v>169</v>
      </c>
      <c r="G14" s="47" t="n">
        <f aca="false">COUNTIF('Screen Inventory'!$F:$F,"M01.01.01")</f>
        <v>1</v>
      </c>
      <c r="H14" s="50" t="s">
        <v>35</v>
      </c>
      <c r="I14" s="46"/>
    </row>
    <row r="15" customFormat="false" ht="15" hidden="false" customHeight="false" outlineLevel="0" collapsed="false">
      <c r="A15" s="46" t="s">
        <v>170</v>
      </c>
      <c r="B15" s="46" t="s">
        <v>23</v>
      </c>
      <c r="C15" s="46" t="s">
        <v>10</v>
      </c>
      <c r="D15" s="46" t="s">
        <v>165</v>
      </c>
      <c r="E15" s="46" t="s">
        <v>171</v>
      </c>
      <c r="F15" s="46" t="s">
        <v>172</v>
      </c>
      <c r="G15" s="47" t="n">
        <f aca="false">COUNTIF('Screen Inventory'!$F:$F,"M01.01.02")</f>
        <v>0</v>
      </c>
      <c r="H15" s="46"/>
      <c r="I15" s="46" t="s">
        <v>150</v>
      </c>
    </row>
    <row r="16" customFormat="false" ht="23.85" hidden="false" customHeight="false" outlineLevel="0" collapsed="false">
      <c r="A16" s="46" t="s">
        <v>173</v>
      </c>
      <c r="B16" s="46" t="s">
        <v>23</v>
      </c>
      <c r="C16" s="46" t="s">
        <v>10</v>
      </c>
      <c r="D16" s="46" t="s">
        <v>165</v>
      </c>
      <c r="E16" s="46" t="s">
        <v>174</v>
      </c>
      <c r="F16" s="46" t="s">
        <v>175</v>
      </c>
      <c r="G16" s="47" t="n">
        <f aca="false">COUNTIF('Screen Inventory'!$F:$F,"M01.01.03")</f>
        <v>0</v>
      </c>
      <c r="H16" s="46"/>
      <c r="I16" s="46" t="s">
        <v>150</v>
      </c>
    </row>
    <row r="17" customFormat="false" ht="15" hidden="false" customHeight="false" outlineLevel="0" collapsed="false">
      <c r="A17" s="46" t="s">
        <v>176</v>
      </c>
      <c r="B17" s="46" t="s">
        <v>23</v>
      </c>
      <c r="C17" s="46" t="s">
        <v>10</v>
      </c>
      <c r="D17" s="46" t="s">
        <v>165</v>
      </c>
      <c r="E17" s="46" t="s">
        <v>177</v>
      </c>
      <c r="F17" s="46" t="s">
        <v>178</v>
      </c>
      <c r="G17" s="47" t="n">
        <f aca="false">COUNTIF('Screen Inventory'!$F:$F,"M01.01.04")</f>
        <v>0</v>
      </c>
      <c r="H17" s="46"/>
      <c r="I17" s="46" t="s">
        <v>150</v>
      </c>
    </row>
    <row r="18" customFormat="false" ht="15" hidden="false" customHeight="false" outlineLevel="0" collapsed="false">
      <c r="A18" s="46" t="s">
        <v>179</v>
      </c>
      <c r="B18" s="46" t="s">
        <v>23</v>
      </c>
      <c r="C18" s="46" t="s">
        <v>10</v>
      </c>
      <c r="D18" s="46" t="s">
        <v>165</v>
      </c>
      <c r="E18" s="46" t="s">
        <v>180</v>
      </c>
      <c r="F18" s="46" t="s">
        <v>181</v>
      </c>
      <c r="G18" s="47" t="n">
        <f aca="false">COUNTIF('Screen Inventory'!$F:$F,"M01.01.05")</f>
        <v>0</v>
      </c>
      <c r="H18" s="46"/>
      <c r="I18" s="46" t="s">
        <v>150</v>
      </c>
    </row>
    <row r="19" customFormat="false" ht="15" hidden="false" customHeight="false" outlineLevel="0" collapsed="false">
      <c r="A19" s="46" t="s">
        <v>182</v>
      </c>
      <c r="B19" s="46" t="s">
        <v>23</v>
      </c>
      <c r="C19" s="46" t="s">
        <v>10</v>
      </c>
      <c r="D19" s="46" t="s">
        <v>165</v>
      </c>
      <c r="E19" s="46" t="s">
        <v>183</v>
      </c>
      <c r="F19" s="46" t="s">
        <v>184</v>
      </c>
      <c r="G19" s="47" t="n">
        <f aca="false">COUNTIF('Screen Inventory'!$F:$F,"M01.01.06")</f>
        <v>0</v>
      </c>
      <c r="H19" s="46"/>
      <c r="I19" s="46" t="s">
        <v>150</v>
      </c>
    </row>
    <row r="20" customFormat="false" ht="23.85" hidden="false" customHeight="false" outlineLevel="0" collapsed="false">
      <c r="A20" s="51" t="s">
        <v>11</v>
      </c>
      <c r="B20" s="51" t="s">
        <v>3</v>
      </c>
      <c r="C20" s="51" t="s">
        <v>12</v>
      </c>
      <c r="D20" s="51"/>
      <c r="E20" s="51"/>
      <c r="F20" s="51" t="s">
        <v>185</v>
      </c>
      <c r="G20" s="52" t="n">
        <f aca="false">COUNTIF('Screen Inventory'!$B:$B,"M02")</f>
        <v>26</v>
      </c>
      <c r="H20" s="51"/>
      <c r="I20" s="51"/>
    </row>
    <row r="21" customFormat="false" ht="15" hidden="false" customHeight="false" outlineLevel="0" collapsed="false">
      <c r="A21" s="44" t="s">
        <v>186</v>
      </c>
      <c r="B21" s="44" t="s">
        <v>22</v>
      </c>
      <c r="C21" s="44" t="s">
        <v>12</v>
      </c>
      <c r="D21" s="44" t="s">
        <v>187</v>
      </c>
      <c r="E21" s="44"/>
      <c r="F21" s="44" t="s">
        <v>188</v>
      </c>
      <c r="G21" s="45" t="n">
        <f aca="false">COUNTIF('Screen Inventory'!$D:$D,"M02.01")</f>
        <v>5</v>
      </c>
      <c r="H21" s="44"/>
      <c r="I21" s="44"/>
    </row>
    <row r="22" customFormat="false" ht="23.85" hidden="false" customHeight="false" outlineLevel="0" collapsed="false">
      <c r="A22" s="46" t="s">
        <v>189</v>
      </c>
      <c r="B22" s="46" t="s">
        <v>23</v>
      </c>
      <c r="C22" s="46" t="s">
        <v>12</v>
      </c>
      <c r="D22" s="46" t="s">
        <v>187</v>
      </c>
      <c r="E22" s="46" t="s">
        <v>190</v>
      </c>
      <c r="F22" s="46" t="s">
        <v>191</v>
      </c>
      <c r="G22" s="47" t="n">
        <f aca="false">COUNTIF('Screen Inventory'!$F:$F,"M02.01.01")</f>
        <v>2</v>
      </c>
      <c r="H22" s="50" t="s">
        <v>35</v>
      </c>
      <c r="I22" s="46"/>
    </row>
    <row r="23" customFormat="false" ht="15" hidden="false" customHeight="false" outlineLevel="0" collapsed="false">
      <c r="A23" s="46" t="s">
        <v>192</v>
      </c>
      <c r="B23" s="46" t="s">
        <v>23</v>
      </c>
      <c r="C23" s="46" t="s">
        <v>12</v>
      </c>
      <c r="D23" s="46" t="s">
        <v>187</v>
      </c>
      <c r="E23" s="46" t="s">
        <v>193</v>
      </c>
      <c r="F23" s="46" t="s">
        <v>194</v>
      </c>
      <c r="G23" s="47" t="n">
        <f aca="false">COUNTIF('Screen Inventory'!$F:$F,"M02.01.02")</f>
        <v>1</v>
      </c>
      <c r="H23" s="50" t="s">
        <v>35</v>
      </c>
      <c r="I23" s="46"/>
    </row>
    <row r="24" customFormat="false" ht="15" hidden="false" customHeight="false" outlineLevel="0" collapsed="false">
      <c r="A24" s="46" t="s">
        <v>195</v>
      </c>
      <c r="B24" s="46" t="s">
        <v>23</v>
      </c>
      <c r="C24" s="46" t="s">
        <v>12</v>
      </c>
      <c r="D24" s="46" t="s">
        <v>187</v>
      </c>
      <c r="E24" s="46" t="s">
        <v>196</v>
      </c>
      <c r="F24" s="46" t="s">
        <v>197</v>
      </c>
      <c r="G24" s="47" t="n">
        <f aca="false">COUNTIF('Screen Inventory'!$F:$F,"M02.01.03")</f>
        <v>1</v>
      </c>
      <c r="H24" s="50" t="s">
        <v>35</v>
      </c>
      <c r="I24" s="46"/>
    </row>
    <row r="25" customFormat="false" ht="15" hidden="false" customHeight="false" outlineLevel="0" collapsed="false">
      <c r="A25" s="46" t="s">
        <v>198</v>
      </c>
      <c r="B25" s="46" t="s">
        <v>23</v>
      </c>
      <c r="C25" s="46" t="s">
        <v>12</v>
      </c>
      <c r="D25" s="46" t="s">
        <v>187</v>
      </c>
      <c r="E25" s="46" t="s">
        <v>199</v>
      </c>
      <c r="F25" s="46" t="s">
        <v>200</v>
      </c>
      <c r="G25" s="47" t="n">
        <f aca="false">COUNTIF('Screen Inventory'!$F:$F,"M02.01.04")</f>
        <v>1</v>
      </c>
      <c r="H25" s="50" t="s">
        <v>35</v>
      </c>
      <c r="I25" s="46"/>
    </row>
    <row r="26" customFormat="false" ht="23.85" hidden="false" customHeight="false" outlineLevel="0" collapsed="false">
      <c r="A26" s="46" t="s">
        <v>201</v>
      </c>
      <c r="B26" s="46" t="s">
        <v>23</v>
      </c>
      <c r="C26" s="46" t="s">
        <v>12</v>
      </c>
      <c r="D26" s="46" t="s">
        <v>187</v>
      </c>
      <c r="E26" s="46" t="s">
        <v>202</v>
      </c>
      <c r="F26" s="46" t="s">
        <v>203</v>
      </c>
      <c r="G26" s="47" t="n">
        <f aca="false">COUNTIF('Screen Inventory'!$F:$F,"M02.01.05")</f>
        <v>0</v>
      </c>
      <c r="H26" s="46"/>
      <c r="I26" s="46" t="s">
        <v>150</v>
      </c>
    </row>
    <row r="27" customFormat="false" ht="23.85" hidden="false" customHeight="false" outlineLevel="0" collapsed="false">
      <c r="A27" s="46" t="s">
        <v>204</v>
      </c>
      <c r="B27" s="46" t="s">
        <v>23</v>
      </c>
      <c r="C27" s="46" t="s">
        <v>12</v>
      </c>
      <c r="D27" s="46" t="s">
        <v>187</v>
      </c>
      <c r="E27" s="46" t="s">
        <v>205</v>
      </c>
      <c r="F27" s="46" t="s">
        <v>206</v>
      </c>
      <c r="G27" s="47" t="n">
        <f aca="false">COUNTIF('Screen Inventory'!$F:$F,"M02.01.06")</f>
        <v>0</v>
      </c>
      <c r="H27" s="46"/>
      <c r="I27" s="46" t="s">
        <v>150</v>
      </c>
    </row>
    <row r="28" customFormat="false" ht="15" hidden="false" customHeight="false" outlineLevel="0" collapsed="false">
      <c r="A28" s="44" t="s">
        <v>207</v>
      </c>
      <c r="B28" s="44" t="s">
        <v>22</v>
      </c>
      <c r="C28" s="44" t="s">
        <v>12</v>
      </c>
      <c r="D28" s="44" t="s">
        <v>208</v>
      </c>
      <c r="E28" s="44"/>
      <c r="F28" s="44" t="s">
        <v>209</v>
      </c>
      <c r="G28" s="45" t="n">
        <f aca="false">COUNTIF('Screen Inventory'!$D:$D,"M02.02")</f>
        <v>12</v>
      </c>
      <c r="H28" s="44"/>
      <c r="I28" s="44"/>
    </row>
    <row r="29" customFormat="false" ht="15" hidden="false" customHeight="false" outlineLevel="0" collapsed="false">
      <c r="A29" s="46" t="s">
        <v>210</v>
      </c>
      <c r="B29" s="46" t="s">
        <v>23</v>
      </c>
      <c r="C29" s="46" t="s">
        <v>12</v>
      </c>
      <c r="D29" s="46" t="s">
        <v>208</v>
      </c>
      <c r="E29" s="46" t="s">
        <v>211</v>
      </c>
      <c r="F29" s="46" t="s">
        <v>212</v>
      </c>
      <c r="G29" s="47" t="n">
        <f aca="false">COUNTIF('Screen Inventory'!$F:$F,"M02.02.01")</f>
        <v>1</v>
      </c>
      <c r="H29" s="50" t="s">
        <v>35</v>
      </c>
      <c r="I29" s="46"/>
    </row>
    <row r="30" customFormat="false" ht="23.85" hidden="false" customHeight="false" outlineLevel="0" collapsed="false">
      <c r="A30" s="46" t="s">
        <v>213</v>
      </c>
      <c r="B30" s="46" t="s">
        <v>23</v>
      </c>
      <c r="C30" s="46" t="s">
        <v>12</v>
      </c>
      <c r="D30" s="46" t="s">
        <v>208</v>
      </c>
      <c r="E30" s="46" t="s">
        <v>214</v>
      </c>
      <c r="F30" s="46" t="s">
        <v>215</v>
      </c>
      <c r="G30" s="47" t="n">
        <f aca="false">COUNTIF('Screen Inventory'!$F:$F,"M02.02.02")</f>
        <v>6</v>
      </c>
      <c r="H30" s="50" t="s">
        <v>35</v>
      </c>
      <c r="I30" s="46"/>
    </row>
    <row r="31" customFormat="false" ht="15" hidden="false" customHeight="false" outlineLevel="0" collapsed="false">
      <c r="A31" s="46" t="s">
        <v>216</v>
      </c>
      <c r="B31" s="46" t="s">
        <v>23</v>
      </c>
      <c r="C31" s="46" t="s">
        <v>12</v>
      </c>
      <c r="D31" s="46" t="s">
        <v>208</v>
      </c>
      <c r="E31" s="46" t="s">
        <v>217</v>
      </c>
      <c r="F31" s="46" t="s">
        <v>218</v>
      </c>
      <c r="G31" s="47" t="n">
        <f aca="false">COUNTIF('Screen Inventory'!$F:$F,"M02.02.03")</f>
        <v>1</v>
      </c>
      <c r="H31" s="50" t="s">
        <v>35</v>
      </c>
      <c r="I31" s="46"/>
    </row>
    <row r="32" customFormat="false" ht="15" hidden="false" customHeight="false" outlineLevel="0" collapsed="false">
      <c r="A32" s="46" t="s">
        <v>219</v>
      </c>
      <c r="B32" s="46" t="s">
        <v>23</v>
      </c>
      <c r="C32" s="46" t="s">
        <v>12</v>
      </c>
      <c r="D32" s="46" t="s">
        <v>208</v>
      </c>
      <c r="E32" s="46" t="s">
        <v>220</v>
      </c>
      <c r="F32" s="46" t="s">
        <v>221</v>
      </c>
      <c r="G32" s="47" t="n">
        <f aca="false">COUNTIF('Screen Inventory'!$F:$F,"M02.02.04")</f>
        <v>1</v>
      </c>
      <c r="H32" s="50" t="s">
        <v>35</v>
      </c>
      <c r="I32" s="46"/>
    </row>
    <row r="33" customFormat="false" ht="15" hidden="false" customHeight="false" outlineLevel="0" collapsed="false">
      <c r="A33" s="46" t="s">
        <v>222</v>
      </c>
      <c r="B33" s="46" t="s">
        <v>23</v>
      </c>
      <c r="C33" s="46" t="s">
        <v>12</v>
      </c>
      <c r="D33" s="46" t="s">
        <v>208</v>
      </c>
      <c r="E33" s="46" t="s">
        <v>223</v>
      </c>
      <c r="F33" s="46" t="s">
        <v>224</v>
      </c>
      <c r="G33" s="47" t="n">
        <f aca="false">COUNTIF('Screen Inventory'!$F:$F,"M02.02.05")</f>
        <v>1</v>
      </c>
      <c r="H33" s="50" t="s">
        <v>35</v>
      </c>
      <c r="I33" s="46"/>
    </row>
    <row r="34" customFormat="false" ht="15" hidden="false" customHeight="false" outlineLevel="0" collapsed="false">
      <c r="A34" s="46" t="s">
        <v>225</v>
      </c>
      <c r="B34" s="46" t="s">
        <v>23</v>
      </c>
      <c r="C34" s="46" t="s">
        <v>12</v>
      </c>
      <c r="D34" s="46" t="s">
        <v>208</v>
      </c>
      <c r="E34" s="46" t="s">
        <v>226</v>
      </c>
      <c r="F34" s="46" t="s">
        <v>227</v>
      </c>
      <c r="G34" s="47" t="n">
        <f aca="false">COUNTIF('Screen Inventory'!$F:$F,"M02.02.06")</f>
        <v>1</v>
      </c>
      <c r="H34" s="50" t="s">
        <v>35</v>
      </c>
      <c r="I34" s="46"/>
    </row>
    <row r="35" customFormat="false" ht="15" hidden="false" customHeight="false" outlineLevel="0" collapsed="false">
      <c r="A35" s="46" t="s">
        <v>228</v>
      </c>
      <c r="B35" s="46" t="s">
        <v>23</v>
      </c>
      <c r="C35" s="46" t="s">
        <v>12</v>
      </c>
      <c r="D35" s="46" t="s">
        <v>208</v>
      </c>
      <c r="E35" s="46" t="s">
        <v>229</v>
      </c>
      <c r="F35" s="46" t="s">
        <v>230</v>
      </c>
      <c r="G35" s="47" t="n">
        <f aca="false">COUNTIF('Screen Inventory'!$F:$F,"M02.02.07")</f>
        <v>1</v>
      </c>
      <c r="H35" s="50" t="s">
        <v>35</v>
      </c>
      <c r="I35" s="46"/>
    </row>
    <row r="36" customFormat="false" ht="15" hidden="false" customHeight="false" outlineLevel="0" collapsed="false">
      <c r="A36" s="44" t="s">
        <v>231</v>
      </c>
      <c r="B36" s="44" t="s">
        <v>22</v>
      </c>
      <c r="C36" s="44" t="s">
        <v>12</v>
      </c>
      <c r="D36" s="44" t="s">
        <v>232</v>
      </c>
      <c r="E36" s="44"/>
      <c r="F36" s="44" t="s">
        <v>233</v>
      </c>
      <c r="G36" s="45" t="n">
        <f aca="false">COUNTIF('Screen Inventory'!$D:$D,"M02.03")</f>
        <v>7</v>
      </c>
      <c r="H36" s="44"/>
      <c r="I36" s="44"/>
    </row>
    <row r="37" customFormat="false" ht="15" hidden="false" customHeight="false" outlineLevel="0" collapsed="false">
      <c r="A37" s="46" t="s">
        <v>234</v>
      </c>
      <c r="B37" s="46" t="s">
        <v>23</v>
      </c>
      <c r="C37" s="46" t="s">
        <v>12</v>
      </c>
      <c r="D37" s="46" t="s">
        <v>232</v>
      </c>
      <c r="E37" s="46" t="s">
        <v>235</v>
      </c>
      <c r="F37" s="46" t="s">
        <v>236</v>
      </c>
      <c r="G37" s="47" t="n">
        <f aca="false">COUNTIF('Screen Inventory'!$F:$F,"M02.03.01")</f>
        <v>3</v>
      </c>
      <c r="H37" s="50" t="s">
        <v>35</v>
      </c>
      <c r="I37" s="46"/>
    </row>
    <row r="38" customFormat="false" ht="15" hidden="false" customHeight="false" outlineLevel="0" collapsed="false">
      <c r="A38" s="46" t="s">
        <v>237</v>
      </c>
      <c r="B38" s="46" t="s">
        <v>23</v>
      </c>
      <c r="C38" s="46" t="s">
        <v>12</v>
      </c>
      <c r="D38" s="46" t="s">
        <v>232</v>
      </c>
      <c r="E38" s="46" t="s">
        <v>238</v>
      </c>
      <c r="F38" s="46" t="s">
        <v>239</v>
      </c>
      <c r="G38" s="47" t="n">
        <f aca="false">COUNTIF('Screen Inventory'!$F:$F,"M02.03.02")</f>
        <v>1</v>
      </c>
      <c r="H38" s="50" t="s">
        <v>35</v>
      </c>
      <c r="I38" s="46"/>
    </row>
    <row r="39" customFormat="false" ht="15" hidden="false" customHeight="false" outlineLevel="0" collapsed="false">
      <c r="A39" s="46" t="s">
        <v>240</v>
      </c>
      <c r="B39" s="46" t="s">
        <v>23</v>
      </c>
      <c r="C39" s="46" t="s">
        <v>12</v>
      </c>
      <c r="D39" s="46" t="s">
        <v>232</v>
      </c>
      <c r="E39" s="46" t="s">
        <v>241</v>
      </c>
      <c r="F39" s="46" t="s">
        <v>242</v>
      </c>
      <c r="G39" s="47" t="n">
        <f aca="false">COUNTIF('Screen Inventory'!$F:$F,"M02.03.03")</f>
        <v>1</v>
      </c>
      <c r="H39" s="50" t="s">
        <v>35</v>
      </c>
      <c r="I39" s="46"/>
    </row>
    <row r="40" customFormat="false" ht="15" hidden="false" customHeight="false" outlineLevel="0" collapsed="false">
      <c r="A40" s="46" t="s">
        <v>243</v>
      </c>
      <c r="B40" s="46" t="s">
        <v>23</v>
      </c>
      <c r="C40" s="46" t="s">
        <v>12</v>
      </c>
      <c r="D40" s="46" t="s">
        <v>232</v>
      </c>
      <c r="E40" s="46" t="s">
        <v>244</v>
      </c>
      <c r="F40" s="46" t="s">
        <v>245</v>
      </c>
      <c r="G40" s="47" t="n">
        <f aca="false">COUNTIF('Screen Inventory'!$F:$F,"M02.03.04")</f>
        <v>1</v>
      </c>
      <c r="H40" s="50" t="s">
        <v>35</v>
      </c>
      <c r="I40" s="46"/>
    </row>
    <row r="41" customFormat="false" ht="15" hidden="false" customHeight="false" outlineLevel="0" collapsed="false">
      <c r="A41" s="46" t="s">
        <v>246</v>
      </c>
      <c r="B41" s="46" t="s">
        <v>23</v>
      </c>
      <c r="C41" s="46" t="s">
        <v>12</v>
      </c>
      <c r="D41" s="46" t="s">
        <v>232</v>
      </c>
      <c r="E41" s="46" t="s">
        <v>247</v>
      </c>
      <c r="F41" s="46" t="s">
        <v>248</v>
      </c>
      <c r="G41" s="47" t="n">
        <f aca="false">COUNTIF('Screen Inventory'!$F:$F,"M02.03.05")</f>
        <v>1</v>
      </c>
      <c r="H41" s="50" t="s">
        <v>35</v>
      </c>
      <c r="I41" s="46"/>
    </row>
    <row r="42" customFormat="false" ht="15" hidden="false" customHeight="false" outlineLevel="0" collapsed="false">
      <c r="A42" s="44" t="s">
        <v>249</v>
      </c>
      <c r="B42" s="44" t="s">
        <v>22</v>
      </c>
      <c r="C42" s="44" t="s">
        <v>12</v>
      </c>
      <c r="D42" s="44" t="s">
        <v>250</v>
      </c>
      <c r="E42" s="44"/>
      <c r="F42" s="44" t="s">
        <v>251</v>
      </c>
      <c r="G42" s="45" t="n">
        <f aca="false">COUNTIF('Screen Inventory'!$D:$D,"M02.04")</f>
        <v>2</v>
      </c>
      <c r="H42" s="44"/>
      <c r="I42" s="44"/>
    </row>
    <row r="43" customFormat="false" ht="15" hidden="false" customHeight="false" outlineLevel="0" collapsed="false">
      <c r="A43" s="46" t="s">
        <v>252</v>
      </c>
      <c r="B43" s="46" t="s">
        <v>23</v>
      </c>
      <c r="C43" s="46" t="s">
        <v>12</v>
      </c>
      <c r="D43" s="46" t="s">
        <v>250</v>
      </c>
      <c r="E43" s="46" t="s">
        <v>253</v>
      </c>
      <c r="F43" s="46" t="s">
        <v>254</v>
      </c>
      <c r="G43" s="47" t="n">
        <f aca="false">COUNTIF('Screen Inventory'!$F:$F,"M02.04.01")</f>
        <v>1</v>
      </c>
      <c r="H43" s="50" t="s">
        <v>35</v>
      </c>
      <c r="I43" s="46"/>
    </row>
    <row r="44" customFormat="false" ht="15" hidden="false" customHeight="false" outlineLevel="0" collapsed="false">
      <c r="A44" s="46" t="s">
        <v>255</v>
      </c>
      <c r="B44" s="46" t="s">
        <v>23</v>
      </c>
      <c r="C44" s="46" t="s">
        <v>12</v>
      </c>
      <c r="D44" s="46" t="s">
        <v>250</v>
      </c>
      <c r="E44" s="46" t="s">
        <v>256</v>
      </c>
      <c r="F44" s="46" t="s">
        <v>257</v>
      </c>
      <c r="G44" s="47" t="n">
        <f aca="false">COUNTIF('Screen Inventory'!$F:$F,"M02.04.02")</f>
        <v>1</v>
      </c>
      <c r="H44" s="50" t="s">
        <v>35</v>
      </c>
      <c r="I44" s="46"/>
    </row>
    <row r="45" customFormat="false" ht="23.85" hidden="false" customHeight="false" outlineLevel="0" collapsed="false">
      <c r="A45" s="53" t="s">
        <v>13</v>
      </c>
      <c r="B45" s="53" t="s">
        <v>3</v>
      </c>
      <c r="C45" s="53" t="s">
        <v>14</v>
      </c>
      <c r="D45" s="53"/>
      <c r="E45" s="53"/>
      <c r="F45" s="53" t="s">
        <v>258</v>
      </c>
      <c r="G45" s="54" t="n">
        <f aca="false">COUNTIF('Screen Inventory'!$B:$B,"M03")</f>
        <v>39</v>
      </c>
      <c r="H45" s="53"/>
      <c r="I45" s="53"/>
    </row>
    <row r="46" customFormat="false" ht="15" hidden="false" customHeight="false" outlineLevel="0" collapsed="false">
      <c r="A46" s="44" t="s">
        <v>259</v>
      </c>
      <c r="B46" s="44" t="s">
        <v>22</v>
      </c>
      <c r="C46" s="44" t="s">
        <v>14</v>
      </c>
      <c r="D46" s="44" t="s">
        <v>260</v>
      </c>
      <c r="E46" s="44"/>
      <c r="F46" s="44" t="s">
        <v>261</v>
      </c>
      <c r="G46" s="45" t="n">
        <f aca="false">COUNTIF('Screen Inventory'!$D:$D,"M03.01")</f>
        <v>1</v>
      </c>
      <c r="H46" s="44"/>
      <c r="I46" s="44"/>
    </row>
    <row r="47" customFormat="false" ht="23.85" hidden="false" customHeight="false" outlineLevel="0" collapsed="false">
      <c r="A47" s="46" t="s">
        <v>262</v>
      </c>
      <c r="B47" s="46" t="s">
        <v>23</v>
      </c>
      <c r="C47" s="46" t="s">
        <v>14</v>
      </c>
      <c r="D47" s="46" t="s">
        <v>260</v>
      </c>
      <c r="E47" s="46" t="s">
        <v>263</v>
      </c>
      <c r="F47" s="46" t="s">
        <v>264</v>
      </c>
      <c r="G47" s="47" t="n">
        <f aca="false">COUNTIF('Screen Inventory'!$F:$F,"M03.01.01")</f>
        <v>1</v>
      </c>
      <c r="H47" s="50" t="s">
        <v>35</v>
      </c>
      <c r="I47" s="46"/>
    </row>
    <row r="48" customFormat="false" ht="15" hidden="false" customHeight="false" outlineLevel="0" collapsed="false">
      <c r="A48" s="44" t="s">
        <v>265</v>
      </c>
      <c r="B48" s="44" t="s">
        <v>22</v>
      </c>
      <c r="C48" s="44" t="s">
        <v>14</v>
      </c>
      <c r="D48" s="44" t="s">
        <v>266</v>
      </c>
      <c r="E48" s="44"/>
      <c r="F48" s="44" t="s">
        <v>267</v>
      </c>
      <c r="G48" s="45" t="n">
        <f aca="false">COUNTIF('Screen Inventory'!$D:$D,"M03.02")</f>
        <v>5</v>
      </c>
      <c r="H48" s="44"/>
      <c r="I48" s="44"/>
    </row>
    <row r="49" customFormat="false" ht="15" hidden="false" customHeight="false" outlineLevel="0" collapsed="false">
      <c r="A49" s="46" t="s">
        <v>268</v>
      </c>
      <c r="B49" s="46" t="s">
        <v>23</v>
      </c>
      <c r="C49" s="46" t="s">
        <v>14</v>
      </c>
      <c r="D49" s="46" t="s">
        <v>266</v>
      </c>
      <c r="E49" s="46" t="s">
        <v>269</v>
      </c>
      <c r="F49" s="46" t="s">
        <v>270</v>
      </c>
      <c r="G49" s="47" t="n">
        <f aca="false">COUNTIF('Screen Inventory'!$F:$F,"M03.02.01")</f>
        <v>1</v>
      </c>
      <c r="H49" s="50" t="s">
        <v>35</v>
      </c>
      <c r="I49" s="46"/>
    </row>
    <row r="50" customFormat="false" ht="15" hidden="false" customHeight="false" outlineLevel="0" collapsed="false">
      <c r="A50" s="46" t="s">
        <v>271</v>
      </c>
      <c r="B50" s="46" t="s">
        <v>23</v>
      </c>
      <c r="C50" s="46" t="s">
        <v>14</v>
      </c>
      <c r="D50" s="46" t="s">
        <v>266</v>
      </c>
      <c r="E50" s="46" t="s">
        <v>272</v>
      </c>
      <c r="F50" s="46" t="s">
        <v>273</v>
      </c>
      <c r="G50" s="47" t="n">
        <f aca="false">COUNTIF('Screen Inventory'!$F:$F,"M03.02.02")</f>
        <v>1</v>
      </c>
      <c r="H50" s="50" t="s">
        <v>35</v>
      </c>
      <c r="I50" s="46"/>
    </row>
    <row r="51" customFormat="false" ht="15" hidden="false" customHeight="false" outlineLevel="0" collapsed="false">
      <c r="A51" s="46" t="s">
        <v>274</v>
      </c>
      <c r="B51" s="46" t="s">
        <v>23</v>
      </c>
      <c r="C51" s="46" t="s">
        <v>14</v>
      </c>
      <c r="D51" s="46" t="s">
        <v>266</v>
      </c>
      <c r="E51" s="46" t="s">
        <v>275</v>
      </c>
      <c r="F51" s="46" t="s">
        <v>276</v>
      </c>
      <c r="G51" s="47" t="n">
        <f aca="false">COUNTIF('Screen Inventory'!$F:$F,"M03.02.03")</f>
        <v>1</v>
      </c>
      <c r="H51" s="50" t="s">
        <v>35</v>
      </c>
      <c r="I51" s="46"/>
    </row>
    <row r="52" customFormat="false" ht="15" hidden="false" customHeight="false" outlineLevel="0" collapsed="false">
      <c r="A52" s="46" t="s">
        <v>277</v>
      </c>
      <c r="B52" s="46" t="s">
        <v>23</v>
      </c>
      <c r="C52" s="46" t="s">
        <v>14</v>
      </c>
      <c r="D52" s="46" t="s">
        <v>266</v>
      </c>
      <c r="E52" s="46" t="s">
        <v>278</v>
      </c>
      <c r="F52" s="46" t="s">
        <v>279</v>
      </c>
      <c r="G52" s="47" t="n">
        <f aca="false">COUNTIF('Screen Inventory'!$F:$F,"M03.02.04")</f>
        <v>1</v>
      </c>
      <c r="H52" s="50" t="s">
        <v>35</v>
      </c>
      <c r="I52" s="46"/>
    </row>
    <row r="53" customFormat="false" ht="15" hidden="false" customHeight="false" outlineLevel="0" collapsed="false">
      <c r="A53" s="46" t="s">
        <v>280</v>
      </c>
      <c r="B53" s="46" t="s">
        <v>23</v>
      </c>
      <c r="C53" s="46" t="s">
        <v>14</v>
      </c>
      <c r="D53" s="46" t="s">
        <v>266</v>
      </c>
      <c r="E53" s="46" t="s">
        <v>281</v>
      </c>
      <c r="F53" s="46" t="s">
        <v>282</v>
      </c>
      <c r="G53" s="47" t="n">
        <f aca="false">COUNTIF('Screen Inventory'!$F:$F,"M03.02.05")</f>
        <v>1</v>
      </c>
      <c r="H53" s="50" t="s">
        <v>35</v>
      </c>
      <c r="I53" s="46"/>
    </row>
    <row r="54" customFormat="false" ht="15" hidden="false" customHeight="false" outlineLevel="0" collapsed="false">
      <c r="A54" s="44" t="s">
        <v>283</v>
      </c>
      <c r="B54" s="44" t="s">
        <v>22</v>
      </c>
      <c r="C54" s="44" t="s">
        <v>14</v>
      </c>
      <c r="D54" s="44" t="s">
        <v>284</v>
      </c>
      <c r="E54" s="44"/>
      <c r="F54" s="44" t="s">
        <v>285</v>
      </c>
      <c r="G54" s="45" t="n">
        <f aca="false">COUNTIF('Screen Inventory'!$D:$D,"M03.03")</f>
        <v>0</v>
      </c>
      <c r="H54" s="44"/>
      <c r="I54" s="44"/>
    </row>
    <row r="55" customFormat="false" ht="23.85" hidden="false" customHeight="false" outlineLevel="0" collapsed="false">
      <c r="A55" s="46" t="s">
        <v>286</v>
      </c>
      <c r="B55" s="46" t="s">
        <v>23</v>
      </c>
      <c r="C55" s="46" t="s">
        <v>14</v>
      </c>
      <c r="D55" s="46" t="s">
        <v>284</v>
      </c>
      <c r="E55" s="46" t="s">
        <v>287</v>
      </c>
      <c r="F55" s="46" t="s">
        <v>288</v>
      </c>
      <c r="G55" s="47" t="n">
        <f aca="false">COUNTIF('Screen Inventory'!$F:$F,"M03.03.01")</f>
        <v>0</v>
      </c>
      <c r="H55" s="46"/>
      <c r="I55" s="46" t="s">
        <v>150</v>
      </c>
    </row>
    <row r="56" customFormat="false" ht="15" hidden="false" customHeight="false" outlineLevel="0" collapsed="false">
      <c r="A56" s="46" t="s">
        <v>289</v>
      </c>
      <c r="B56" s="46" t="s">
        <v>23</v>
      </c>
      <c r="C56" s="46" t="s">
        <v>14</v>
      </c>
      <c r="D56" s="46" t="s">
        <v>284</v>
      </c>
      <c r="E56" s="46" t="s">
        <v>290</v>
      </c>
      <c r="F56" s="46" t="s">
        <v>291</v>
      </c>
      <c r="G56" s="47" t="n">
        <f aca="false">COUNTIF('Screen Inventory'!$F:$F,"M03.03.02")</f>
        <v>0</v>
      </c>
      <c r="H56" s="46"/>
      <c r="I56" s="46" t="s">
        <v>150</v>
      </c>
    </row>
    <row r="57" customFormat="false" ht="15" hidden="false" customHeight="false" outlineLevel="0" collapsed="false">
      <c r="A57" s="46" t="s">
        <v>292</v>
      </c>
      <c r="B57" s="46" t="s">
        <v>23</v>
      </c>
      <c r="C57" s="46" t="s">
        <v>14</v>
      </c>
      <c r="D57" s="46" t="s">
        <v>284</v>
      </c>
      <c r="E57" s="46" t="s">
        <v>293</v>
      </c>
      <c r="F57" s="46" t="s">
        <v>294</v>
      </c>
      <c r="G57" s="47" t="n">
        <f aca="false">COUNTIF('Screen Inventory'!$F:$F,"M03.03.03")</f>
        <v>0</v>
      </c>
      <c r="H57" s="46"/>
      <c r="I57" s="46" t="s">
        <v>150</v>
      </c>
    </row>
    <row r="58" customFormat="false" ht="15" hidden="false" customHeight="false" outlineLevel="0" collapsed="false">
      <c r="A58" s="46" t="s">
        <v>295</v>
      </c>
      <c r="B58" s="46" t="s">
        <v>23</v>
      </c>
      <c r="C58" s="46" t="s">
        <v>14</v>
      </c>
      <c r="D58" s="46" t="s">
        <v>284</v>
      </c>
      <c r="E58" s="46" t="s">
        <v>296</v>
      </c>
      <c r="F58" s="46" t="s">
        <v>297</v>
      </c>
      <c r="G58" s="47" t="n">
        <f aca="false">COUNTIF('Screen Inventory'!$F:$F,"M03.03.04")</f>
        <v>0</v>
      </c>
      <c r="H58" s="46"/>
      <c r="I58" s="46" t="s">
        <v>150</v>
      </c>
    </row>
    <row r="59" customFormat="false" ht="15" hidden="false" customHeight="false" outlineLevel="0" collapsed="false">
      <c r="A59" s="44" t="s">
        <v>298</v>
      </c>
      <c r="B59" s="44" t="s">
        <v>22</v>
      </c>
      <c r="C59" s="44" t="s">
        <v>14</v>
      </c>
      <c r="D59" s="44" t="s">
        <v>299</v>
      </c>
      <c r="E59" s="44"/>
      <c r="F59" s="44" t="s">
        <v>300</v>
      </c>
      <c r="G59" s="45" t="n">
        <f aca="false">COUNTIF('Screen Inventory'!$D:$D,"M03.04")</f>
        <v>2</v>
      </c>
      <c r="H59" s="44"/>
      <c r="I59" s="44"/>
    </row>
    <row r="60" customFormat="false" ht="23.85" hidden="false" customHeight="false" outlineLevel="0" collapsed="false">
      <c r="A60" s="46" t="s">
        <v>301</v>
      </c>
      <c r="B60" s="46" t="s">
        <v>23</v>
      </c>
      <c r="C60" s="46" t="s">
        <v>14</v>
      </c>
      <c r="D60" s="46" t="s">
        <v>299</v>
      </c>
      <c r="E60" s="46" t="s">
        <v>302</v>
      </c>
      <c r="F60" s="46" t="s">
        <v>303</v>
      </c>
      <c r="G60" s="47" t="n">
        <f aca="false">COUNTIF('Screen Inventory'!$F:$F,"M03.04.01")</f>
        <v>1</v>
      </c>
      <c r="H60" s="50" t="s">
        <v>35</v>
      </c>
      <c r="I60" s="46"/>
    </row>
    <row r="61" customFormat="false" ht="15" hidden="false" customHeight="false" outlineLevel="0" collapsed="false">
      <c r="A61" s="46" t="s">
        <v>304</v>
      </c>
      <c r="B61" s="46" t="s">
        <v>23</v>
      </c>
      <c r="C61" s="46" t="s">
        <v>14</v>
      </c>
      <c r="D61" s="46" t="s">
        <v>299</v>
      </c>
      <c r="E61" s="46" t="s">
        <v>305</v>
      </c>
      <c r="F61" s="46" t="s">
        <v>306</v>
      </c>
      <c r="G61" s="47" t="n">
        <f aca="false">COUNTIF('Screen Inventory'!$F:$F,"M03.04.02")</f>
        <v>1</v>
      </c>
      <c r="H61" s="50" t="s">
        <v>35</v>
      </c>
      <c r="I61" s="46"/>
    </row>
    <row r="62" customFormat="false" ht="15" hidden="false" customHeight="false" outlineLevel="0" collapsed="false">
      <c r="A62" s="44" t="s">
        <v>307</v>
      </c>
      <c r="B62" s="44" t="s">
        <v>22</v>
      </c>
      <c r="C62" s="44" t="s">
        <v>14</v>
      </c>
      <c r="D62" s="44" t="s">
        <v>308</v>
      </c>
      <c r="E62" s="44"/>
      <c r="F62" s="44" t="s">
        <v>309</v>
      </c>
      <c r="G62" s="45" t="n">
        <f aca="false">COUNTIF('Screen Inventory'!$D:$D,"M03.05")</f>
        <v>2</v>
      </c>
      <c r="H62" s="44"/>
      <c r="I62" s="44"/>
    </row>
    <row r="63" customFormat="false" ht="15" hidden="false" customHeight="false" outlineLevel="0" collapsed="false">
      <c r="A63" s="46" t="s">
        <v>310</v>
      </c>
      <c r="B63" s="46" t="s">
        <v>23</v>
      </c>
      <c r="C63" s="46" t="s">
        <v>14</v>
      </c>
      <c r="D63" s="46" t="s">
        <v>308</v>
      </c>
      <c r="E63" s="46" t="s">
        <v>311</v>
      </c>
      <c r="F63" s="46" t="s">
        <v>312</v>
      </c>
      <c r="G63" s="47" t="n">
        <f aca="false">COUNTIF('Screen Inventory'!$F:$F,"M03.05.01")</f>
        <v>1</v>
      </c>
      <c r="H63" s="50" t="s">
        <v>35</v>
      </c>
      <c r="I63" s="46"/>
    </row>
    <row r="64" customFormat="false" ht="15" hidden="false" customHeight="false" outlineLevel="0" collapsed="false">
      <c r="A64" s="46" t="s">
        <v>313</v>
      </c>
      <c r="B64" s="46" t="s">
        <v>23</v>
      </c>
      <c r="C64" s="46" t="s">
        <v>14</v>
      </c>
      <c r="D64" s="46" t="s">
        <v>308</v>
      </c>
      <c r="E64" s="46" t="s">
        <v>314</v>
      </c>
      <c r="F64" s="46" t="s">
        <v>315</v>
      </c>
      <c r="G64" s="47" t="n">
        <f aca="false">COUNTIF('Screen Inventory'!$F:$F,"M03.05.02")</f>
        <v>1</v>
      </c>
      <c r="H64" s="50" t="s">
        <v>35</v>
      </c>
      <c r="I64" s="46"/>
    </row>
    <row r="65" customFormat="false" ht="15" hidden="false" customHeight="false" outlineLevel="0" collapsed="false">
      <c r="A65" s="44" t="s">
        <v>316</v>
      </c>
      <c r="B65" s="44" t="s">
        <v>22</v>
      </c>
      <c r="C65" s="44" t="s">
        <v>14</v>
      </c>
      <c r="D65" s="44" t="s">
        <v>317</v>
      </c>
      <c r="E65" s="44"/>
      <c r="F65" s="44" t="s">
        <v>318</v>
      </c>
      <c r="G65" s="45" t="n">
        <f aca="false">COUNTIF('Screen Inventory'!$D:$D,"M03.06")</f>
        <v>3</v>
      </c>
      <c r="H65" s="44"/>
      <c r="I65" s="44"/>
    </row>
    <row r="66" customFormat="false" ht="15" hidden="false" customHeight="false" outlineLevel="0" collapsed="false">
      <c r="A66" s="46" t="s">
        <v>319</v>
      </c>
      <c r="B66" s="46" t="s">
        <v>23</v>
      </c>
      <c r="C66" s="46" t="s">
        <v>14</v>
      </c>
      <c r="D66" s="46" t="s">
        <v>317</v>
      </c>
      <c r="E66" s="46" t="s">
        <v>320</v>
      </c>
      <c r="F66" s="46" t="s">
        <v>321</v>
      </c>
      <c r="G66" s="47" t="n">
        <f aca="false">COUNTIF('Screen Inventory'!$F:$F,"M03.06.01")</f>
        <v>1</v>
      </c>
      <c r="H66" s="50" t="s">
        <v>35</v>
      </c>
      <c r="I66" s="46"/>
    </row>
    <row r="67" customFormat="false" ht="15" hidden="false" customHeight="false" outlineLevel="0" collapsed="false">
      <c r="A67" s="46" t="s">
        <v>322</v>
      </c>
      <c r="B67" s="46" t="s">
        <v>23</v>
      </c>
      <c r="C67" s="46" t="s">
        <v>14</v>
      </c>
      <c r="D67" s="46" t="s">
        <v>317</v>
      </c>
      <c r="E67" s="46" t="s">
        <v>323</v>
      </c>
      <c r="F67" s="46" t="s">
        <v>324</v>
      </c>
      <c r="G67" s="47" t="n">
        <f aca="false">COUNTIF('Screen Inventory'!$F:$F,"M03.06.02")</f>
        <v>1</v>
      </c>
      <c r="H67" s="50" t="s">
        <v>35</v>
      </c>
      <c r="I67" s="46"/>
    </row>
    <row r="68" customFormat="false" ht="15" hidden="false" customHeight="false" outlineLevel="0" collapsed="false">
      <c r="A68" s="46" t="s">
        <v>325</v>
      </c>
      <c r="B68" s="46" t="s">
        <v>23</v>
      </c>
      <c r="C68" s="46" t="s">
        <v>14</v>
      </c>
      <c r="D68" s="46" t="s">
        <v>317</v>
      </c>
      <c r="E68" s="46" t="s">
        <v>326</v>
      </c>
      <c r="F68" s="46" t="s">
        <v>327</v>
      </c>
      <c r="G68" s="47" t="n">
        <f aca="false">COUNTIF('Screen Inventory'!$F:$F,"M03.06.03")</f>
        <v>1</v>
      </c>
      <c r="H68" s="50" t="s">
        <v>35</v>
      </c>
      <c r="I68" s="46"/>
    </row>
    <row r="69" customFormat="false" ht="15" hidden="false" customHeight="false" outlineLevel="0" collapsed="false">
      <c r="A69" s="44" t="s">
        <v>328</v>
      </c>
      <c r="B69" s="44" t="s">
        <v>22</v>
      </c>
      <c r="C69" s="44" t="s">
        <v>14</v>
      </c>
      <c r="D69" s="44" t="s">
        <v>329</v>
      </c>
      <c r="E69" s="44"/>
      <c r="F69" s="44" t="s">
        <v>330</v>
      </c>
      <c r="G69" s="45" t="n">
        <f aca="false">COUNTIF('Screen Inventory'!$D:$D,"M03.07")</f>
        <v>3</v>
      </c>
      <c r="H69" s="44"/>
      <c r="I69" s="44"/>
    </row>
    <row r="70" customFormat="false" ht="15" hidden="false" customHeight="false" outlineLevel="0" collapsed="false">
      <c r="A70" s="46" t="s">
        <v>331</v>
      </c>
      <c r="B70" s="46" t="s">
        <v>23</v>
      </c>
      <c r="C70" s="46" t="s">
        <v>14</v>
      </c>
      <c r="D70" s="46" t="s">
        <v>329</v>
      </c>
      <c r="E70" s="46" t="s">
        <v>332</v>
      </c>
      <c r="F70" s="46" t="s">
        <v>333</v>
      </c>
      <c r="G70" s="47" t="n">
        <f aca="false">COUNTIF('Screen Inventory'!$F:$F,"M03.07.01")</f>
        <v>1</v>
      </c>
      <c r="H70" s="50" t="s">
        <v>35</v>
      </c>
      <c r="I70" s="46"/>
    </row>
    <row r="71" customFormat="false" ht="15" hidden="false" customHeight="false" outlineLevel="0" collapsed="false">
      <c r="A71" s="46" t="s">
        <v>334</v>
      </c>
      <c r="B71" s="46" t="s">
        <v>23</v>
      </c>
      <c r="C71" s="46" t="s">
        <v>14</v>
      </c>
      <c r="D71" s="46" t="s">
        <v>329</v>
      </c>
      <c r="E71" s="46" t="s">
        <v>335</v>
      </c>
      <c r="F71" s="46" t="s">
        <v>336</v>
      </c>
      <c r="G71" s="47" t="n">
        <f aca="false">COUNTIF('Screen Inventory'!$F:$F,"M03.07.02")</f>
        <v>1</v>
      </c>
      <c r="H71" s="50" t="s">
        <v>35</v>
      </c>
      <c r="I71" s="46"/>
    </row>
    <row r="72" customFormat="false" ht="15" hidden="false" customHeight="false" outlineLevel="0" collapsed="false">
      <c r="A72" s="46" t="s">
        <v>337</v>
      </c>
      <c r="B72" s="46" t="s">
        <v>23</v>
      </c>
      <c r="C72" s="46" t="s">
        <v>14</v>
      </c>
      <c r="D72" s="46" t="s">
        <v>329</v>
      </c>
      <c r="E72" s="46" t="s">
        <v>338</v>
      </c>
      <c r="F72" s="46" t="s">
        <v>339</v>
      </c>
      <c r="G72" s="47" t="n">
        <f aca="false">COUNTIF('Screen Inventory'!$F:$F,"M03.07.03")</f>
        <v>1</v>
      </c>
      <c r="H72" s="50" t="s">
        <v>35</v>
      </c>
      <c r="I72" s="46"/>
    </row>
    <row r="73" customFormat="false" ht="15" hidden="false" customHeight="false" outlineLevel="0" collapsed="false">
      <c r="A73" s="44" t="s">
        <v>340</v>
      </c>
      <c r="B73" s="44" t="s">
        <v>22</v>
      </c>
      <c r="C73" s="44" t="s">
        <v>14</v>
      </c>
      <c r="D73" s="44" t="s">
        <v>341</v>
      </c>
      <c r="E73" s="44"/>
      <c r="F73" s="44" t="s">
        <v>342</v>
      </c>
      <c r="G73" s="45" t="n">
        <f aca="false">COUNTIF('Screen Inventory'!$D:$D,"M03.08")</f>
        <v>1</v>
      </c>
      <c r="H73" s="44"/>
      <c r="I73" s="44"/>
    </row>
    <row r="74" customFormat="false" ht="15" hidden="false" customHeight="false" outlineLevel="0" collapsed="false">
      <c r="A74" s="46" t="s">
        <v>343</v>
      </c>
      <c r="B74" s="46" t="s">
        <v>23</v>
      </c>
      <c r="C74" s="46" t="s">
        <v>14</v>
      </c>
      <c r="D74" s="46" t="s">
        <v>341</v>
      </c>
      <c r="E74" s="46" t="s">
        <v>344</v>
      </c>
      <c r="F74" s="46" t="s">
        <v>345</v>
      </c>
      <c r="G74" s="47" t="n">
        <f aca="false">COUNTIF('Screen Inventory'!$F:$F,"M03.08.01")</f>
        <v>1</v>
      </c>
      <c r="H74" s="50" t="s">
        <v>35</v>
      </c>
      <c r="I74" s="46"/>
    </row>
    <row r="75" customFormat="false" ht="15" hidden="false" customHeight="false" outlineLevel="0" collapsed="false">
      <c r="A75" s="44" t="s">
        <v>346</v>
      </c>
      <c r="B75" s="44" t="s">
        <v>22</v>
      </c>
      <c r="C75" s="44" t="s">
        <v>14</v>
      </c>
      <c r="D75" s="44" t="s">
        <v>347</v>
      </c>
      <c r="E75" s="44"/>
      <c r="F75" s="44" t="s">
        <v>348</v>
      </c>
      <c r="G75" s="45" t="n">
        <f aca="false">COUNTIF('Screen Inventory'!$D:$D,"M03.09")</f>
        <v>11</v>
      </c>
      <c r="H75" s="44"/>
      <c r="I75" s="44"/>
    </row>
    <row r="76" customFormat="false" ht="15" hidden="false" customHeight="false" outlineLevel="0" collapsed="false">
      <c r="A76" s="46" t="s">
        <v>349</v>
      </c>
      <c r="B76" s="46" t="s">
        <v>23</v>
      </c>
      <c r="C76" s="46" t="s">
        <v>14</v>
      </c>
      <c r="D76" s="46" t="s">
        <v>347</v>
      </c>
      <c r="E76" s="46" t="s">
        <v>350</v>
      </c>
      <c r="F76" s="46" t="s">
        <v>351</v>
      </c>
      <c r="G76" s="47" t="n">
        <f aca="false">COUNTIF('Screen Inventory'!$F:$F,"M03.09.01")</f>
        <v>1</v>
      </c>
      <c r="H76" s="50" t="s">
        <v>35</v>
      </c>
      <c r="I76" s="46"/>
    </row>
    <row r="77" customFormat="false" ht="15" hidden="false" customHeight="false" outlineLevel="0" collapsed="false">
      <c r="A77" s="46" t="s">
        <v>352</v>
      </c>
      <c r="B77" s="46" t="s">
        <v>23</v>
      </c>
      <c r="C77" s="46" t="s">
        <v>14</v>
      </c>
      <c r="D77" s="46" t="s">
        <v>347</v>
      </c>
      <c r="E77" s="46" t="s">
        <v>353</v>
      </c>
      <c r="F77" s="46" t="s">
        <v>354</v>
      </c>
      <c r="G77" s="47" t="n">
        <f aca="false">COUNTIF('Screen Inventory'!$F:$F,"M03.09.02")</f>
        <v>1</v>
      </c>
      <c r="H77" s="50" t="s">
        <v>35</v>
      </c>
      <c r="I77" s="46"/>
    </row>
    <row r="78" customFormat="false" ht="23.85" hidden="false" customHeight="false" outlineLevel="0" collapsed="false">
      <c r="A78" s="46" t="s">
        <v>355</v>
      </c>
      <c r="B78" s="46" t="s">
        <v>23</v>
      </c>
      <c r="C78" s="46" t="s">
        <v>14</v>
      </c>
      <c r="D78" s="46" t="s">
        <v>347</v>
      </c>
      <c r="E78" s="46" t="s">
        <v>356</v>
      </c>
      <c r="F78" s="46" t="s">
        <v>357</v>
      </c>
      <c r="G78" s="47" t="n">
        <f aca="false">COUNTIF('Screen Inventory'!$F:$F,"M03.09.03")</f>
        <v>1</v>
      </c>
      <c r="H78" s="50" t="s">
        <v>35</v>
      </c>
      <c r="I78" s="46"/>
    </row>
    <row r="79" customFormat="false" ht="15" hidden="false" customHeight="false" outlineLevel="0" collapsed="false">
      <c r="A79" s="46" t="s">
        <v>358</v>
      </c>
      <c r="B79" s="46" t="s">
        <v>23</v>
      </c>
      <c r="C79" s="46" t="s">
        <v>14</v>
      </c>
      <c r="D79" s="46" t="s">
        <v>347</v>
      </c>
      <c r="E79" s="46" t="s">
        <v>359</v>
      </c>
      <c r="F79" s="46" t="s">
        <v>360</v>
      </c>
      <c r="G79" s="47" t="n">
        <f aca="false">COUNTIF('Screen Inventory'!$F:$F,"M03.09.04")</f>
        <v>1</v>
      </c>
      <c r="H79" s="50" t="s">
        <v>35</v>
      </c>
      <c r="I79" s="46"/>
    </row>
    <row r="80" customFormat="false" ht="15" hidden="false" customHeight="false" outlineLevel="0" collapsed="false">
      <c r="A80" s="46" t="s">
        <v>361</v>
      </c>
      <c r="B80" s="46" t="s">
        <v>23</v>
      </c>
      <c r="C80" s="46" t="s">
        <v>14</v>
      </c>
      <c r="D80" s="46" t="s">
        <v>347</v>
      </c>
      <c r="E80" s="46" t="s">
        <v>362</v>
      </c>
      <c r="F80" s="46" t="s">
        <v>363</v>
      </c>
      <c r="G80" s="47" t="n">
        <f aca="false">COUNTIF('Screen Inventory'!$F:$F,"M03.09.05")</f>
        <v>1</v>
      </c>
      <c r="H80" s="50" t="s">
        <v>35</v>
      </c>
      <c r="I80" s="46"/>
    </row>
    <row r="81" customFormat="false" ht="15" hidden="false" customHeight="false" outlineLevel="0" collapsed="false">
      <c r="A81" s="46" t="s">
        <v>364</v>
      </c>
      <c r="B81" s="46" t="s">
        <v>23</v>
      </c>
      <c r="C81" s="46" t="s">
        <v>14</v>
      </c>
      <c r="D81" s="46" t="s">
        <v>347</v>
      </c>
      <c r="E81" s="46" t="s">
        <v>365</v>
      </c>
      <c r="F81" s="46" t="s">
        <v>366</v>
      </c>
      <c r="G81" s="47" t="n">
        <f aca="false">COUNTIF('Screen Inventory'!$F:$F,"M03.09.06")</f>
        <v>1</v>
      </c>
      <c r="H81" s="50" t="s">
        <v>35</v>
      </c>
      <c r="I81" s="46"/>
    </row>
    <row r="82" customFormat="false" ht="15" hidden="false" customHeight="false" outlineLevel="0" collapsed="false">
      <c r="A82" s="46" t="s">
        <v>367</v>
      </c>
      <c r="B82" s="46" t="s">
        <v>23</v>
      </c>
      <c r="C82" s="46" t="s">
        <v>14</v>
      </c>
      <c r="D82" s="46" t="s">
        <v>347</v>
      </c>
      <c r="E82" s="46" t="s">
        <v>368</v>
      </c>
      <c r="F82" s="46" t="s">
        <v>369</v>
      </c>
      <c r="G82" s="47" t="n">
        <f aca="false">COUNTIF('Screen Inventory'!$F:$F,"M03.09.07")</f>
        <v>3</v>
      </c>
      <c r="H82" s="50" t="s">
        <v>35</v>
      </c>
      <c r="I82" s="46"/>
    </row>
    <row r="83" customFormat="false" ht="15" hidden="false" customHeight="false" outlineLevel="0" collapsed="false">
      <c r="A83" s="46" t="s">
        <v>370</v>
      </c>
      <c r="B83" s="46" t="s">
        <v>23</v>
      </c>
      <c r="C83" s="46" t="s">
        <v>14</v>
      </c>
      <c r="D83" s="46" t="s">
        <v>347</v>
      </c>
      <c r="E83" s="46" t="s">
        <v>371</v>
      </c>
      <c r="F83" s="46" t="s">
        <v>372</v>
      </c>
      <c r="G83" s="47" t="n">
        <f aca="false">COUNTIF('Screen Inventory'!$F:$F,"M03.09.08")</f>
        <v>1</v>
      </c>
      <c r="H83" s="50" t="s">
        <v>35</v>
      </c>
      <c r="I83" s="46"/>
    </row>
    <row r="84" customFormat="false" ht="15" hidden="false" customHeight="false" outlineLevel="0" collapsed="false">
      <c r="A84" s="46" t="s">
        <v>373</v>
      </c>
      <c r="B84" s="46" t="s">
        <v>23</v>
      </c>
      <c r="C84" s="46" t="s">
        <v>14</v>
      </c>
      <c r="D84" s="46" t="s">
        <v>347</v>
      </c>
      <c r="E84" s="46" t="s">
        <v>374</v>
      </c>
      <c r="F84" s="46" t="s">
        <v>375</v>
      </c>
      <c r="G84" s="47" t="n">
        <f aca="false">COUNTIF('Screen Inventory'!$F:$F,"M03.09.09")</f>
        <v>1</v>
      </c>
      <c r="H84" s="50" t="s">
        <v>35</v>
      </c>
      <c r="I84" s="46"/>
    </row>
    <row r="85" customFormat="false" ht="15" hidden="false" customHeight="false" outlineLevel="0" collapsed="false">
      <c r="A85" s="44" t="s">
        <v>376</v>
      </c>
      <c r="B85" s="44" t="s">
        <v>22</v>
      </c>
      <c r="C85" s="44" t="s">
        <v>14</v>
      </c>
      <c r="D85" s="44" t="s">
        <v>377</v>
      </c>
      <c r="E85" s="44"/>
      <c r="F85" s="44" t="s">
        <v>378</v>
      </c>
      <c r="G85" s="45" t="n">
        <f aca="false">COUNTIF('Screen Inventory'!$D:$D,"M03.10")</f>
        <v>11</v>
      </c>
      <c r="H85" s="44"/>
      <c r="I85" s="44"/>
    </row>
    <row r="86" customFormat="false" ht="15" hidden="false" customHeight="false" outlineLevel="0" collapsed="false">
      <c r="A86" s="46" t="s">
        <v>379</v>
      </c>
      <c r="B86" s="46" t="s">
        <v>23</v>
      </c>
      <c r="C86" s="46" t="s">
        <v>14</v>
      </c>
      <c r="D86" s="46" t="s">
        <v>377</v>
      </c>
      <c r="E86" s="46" t="s">
        <v>380</v>
      </c>
      <c r="F86" s="46" t="s">
        <v>381</v>
      </c>
      <c r="G86" s="47" t="n">
        <f aca="false">COUNTIF('Screen Inventory'!$F:$F,"M03.10.01")</f>
        <v>2</v>
      </c>
      <c r="H86" s="50" t="s">
        <v>35</v>
      </c>
      <c r="I86" s="46"/>
    </row>
    <row r="87" customFormat="false" ht="15" hidden="false" customHeight="false" outlineLevel="0" collapsed="false">
      <c r="A87" s="46" t="s">
        <v>382</v>
      </c>
      <c r="B87" s="46" t="s">
        <v>23</v>
      </c>
      <c r="C87" s="46" t="s">
        <v>14</v>
      </c>
      <c r="D87" s="46" t="s">
        <v>377</v>
      </c>
      <c r="E87" s="46" t="s">
        <v>383</v>
      </c>
      <c r="F87" s="46" t="s">
        <v>384</v>
      </c>
      <c r="G87" s="47" t="n">
        <f aca="false">COUNTIF('Screen Inventory'!$F:$F,"M03.10.02")</f>
        <v>2</v>
      </c>
      <c r="H87" s="50" t="s">
        <v>35</v>
      </c>
      <c r="I87" s="46"/>
    </row>
    <row r="88" customFormat="false" ht="15" hidden="false" customHeight="false" outlineLevel="0" collapsed="false">
      <c r="A88" s="46" t="s">
        <v>385</v>
      </c>
      <c r="B88" s="46" t="s">
        <v>23</v>
      </c>
      <c r="C88" s="46" t="s">
        <v>14</v>
      </c>
      <c r="D88" s="46" t="s">
        <v>377</v>
      </c>
      <c r="E88" s="46" t="s">
        <v>386</v>
      </c>
      <c r="F88" s="46" t="s">
        <v>387</v>
      </c>
      <c r="G88" s="47" t="n">
        <f aca="false">COUNTIF('Screen Inventory'!$F:$F,"M03.10.03")</f>
        <v>1</v>
      </c>
      <c r="H88" s="50" t="s">
        <v>35</v>
      </c>
      <c r="I88" s="46"/>
    </row>
    <row r="89" customFormat="false" ht="15" hidden="false" customHeight="false" outlineLevel="0" collapsed="false">
      <c r="A89" s="46" t="s">
        <v>388</v>
      </c>
      <c r="B89" s="46" t="s">
        <v>23</v>
      </c>
      <c r="C89" s="46" t="s">
        <v>14</v>
      </c>
      <c r="D89" s="46" t="s">
        <v>377</v>
      </c>
      <c r="E89" s="46" t="s">
        <v>389</v>
      </c>
      <c r="F89" s="46" t="s">
        <v>390</v>
      </c>
      <c r="G89" s="47" t="n">
        <f aca="false">COUNTIF('Screen Inventory'!$F:$F,"M03.10.04")</f>
        <v>3</v>
      </c>
      <c r="H89" s="50" t="s">
        <v>35</v>
      </c>
      <c r="I89" s="46"/>
    </row>
    <row r="90" customFormat="false" ht="15" hidden="false" customHeight="false" outlineLevel="0" collapsed="false">
      <c r="A90" s="46" t="s">
        <v>391</v>
      </c>
      <c r="B90" s="46" t="s">
        <v>23</v>
      </c>
      <c r="C90" s="46" t="s">
        <v>14</v>
      </c>
      <c r="D90" s="46" t="s">
        <v>377</v>
      </c>
      <c r="E90" s="46" t="s">
        <v>392</v>
      </c>
      <c r="F90" s="46" t="s">
        <v>393</v>
      </c>
      <c r="G90" s="47" t="n">
        <f aca="false">COUNTIF('Screen Inventory'!$F:$F,"M03.10.05")</f>
        <v>3</v>
      </c>
      <c r="H90" s="50" t="s">
        <v>35</v>
      </c>
      <c r="I90" s="46"/>
    </row>
    <row r="91" customFormat="false" ht="15" hidden="false" customHeight="false" outlineLevel="0" collapsed="false">
      <c r="A91" s="55" t="s">
        <v>15</v>
      </c>
      <c r="B91" s="55" t="s">
        <v>3</v>
      </c>
      <c r="C91" s="55" t="s">
        <v>16</v>
      </c>
      <c r="D91" s="55"/>
      <c r="E91" s="55"/>
      <c r="F91" s="55" t="s">
        <v>394</v>
      </c>
      <c r="G91" s="56" t="n">
        <f aca="false">COUNTIF('Screen Inventory'!$B:$B,"M04")</f>
        <v>6</v>
      </c>
      <c r="H91" s="55"/>
      <c r="I91" s="55"/>
    </row>
    <row r="92" customFormat="false" ht="15" hidden="false" customHeight="false" outlineLevel="0" collapsed="false">
      <c r="A92" s="44" t="s">
        <v>395</v>
      </c>
      <c r="B92" s="44" t="s">
        <v>22</v>
      </c>
      <c r="C92" s="44" t="s">
        <v>16</v>
      </c>
      <c r="D92" s="44" t="s">
        <v>396</v>
      </c>
      <c r="E92" s="44"/>
      <c r="F92" s="44" t="s">
        <v>397</v>
      </c>
      <c r="G92" s="45" t="n">
        <f aca="false">COUNTIF('Screen Inventory'!$D:$D,"M04.01")</f>
        <v>5</v>
      </c>
      <c r="H92" s="44"/>
      <c r="I92" s="44"/>
    </row>
    <row r="93" customFormat="false" ht="15" hidden="false" customHeight="false" outlineLevel="0" collapsed="false">
      <c r="A93" s="46" t="s">
        <v>398</v>
      </c>
      <c r="B93" s="46" t="s">
        <v>23</v>
      </c>
      <c r="C93" s="46" t="s">
        <v>16</v>
      </c>
      <c r="D93" s="46" t="s">
        <v>396</v>
      </c>
      <c r="E93" s="46" t="s">
        <v>399</v>
      </c>
      <c r="F93" s="46" t="s">
        <v>400</v>
      </c>
      <c r="G93" s="47" t="n">
        <f aca="false">COUNTIF('Screen Inventory'!$F:$F,"M04.01.01")</f>
        <v>1</v>
      </c>
      <c r="H93" s="50" t="s">
        <v>35</v>
      </c>
      <c r="I93" s="46"/>
    </row>
    <row r="94" customFormat="false" ht="15" hidden="false" customHeight="false" outlineLevel="0" collapsed="false">
      <c r="A94" s="46" t="s">
        <v>401</v>
      </c>
      <c r="B94" s="46" t="s">
        <v>23</v>
      </c>
      <c r="C94" s="46" t="s">
        <v>16</v>
      </c>
      <c r="D94" s="46" t="s">
        <v>396</v>
      </c>
      <c r="E94" s="46" t="s">
        <v>402</v>
      </c>
      <c r="F94" s="46" t="s">
        <v>403</v>
      </c>
      <c r="G94" s="47" t="n">
        <f aca="false">COUNTIF('Screen Inventory'!$F:$F,"M04.01.02")</f>
        <v>1</v>
      </c>
      <c r="H94" s="50" t="s">
        <v>35</v>
      </c>
      <c r="I94" s="46"/>
    </row>
    <row r="95" customFormat="false" ht="15" hidden="false" customHeight="false" outlineLevel="0" collapsed="false">
      <c r="A95" s="46" t="s">
        <v>404</v>
      </c>
      <c r="B95" s="46" t="s">
        <v>23</v>
      </c>
      <c r="C95" s="46" t="s">
        <v>16</v>
      </c>
      <c r="D95" s="46" t="s">
        <v>396</v>
      </c>
      <c r="E95" s="46" t="s">
        <v>405</v>
      </c>
      <c r="F95" s="46" t="s">
        <v>406</v>
      </c>
      <c r="G95" s="47" t="n">
        <f aca="false">COUNTIF('Screen Inventory'!$F:$F,"M04.01.03")</f>
        <v>1</v>
      </c>
      <c r="H95" s="50" t="s">
        <v>35</v>
      </c>
      <c r="I95" s="46"/>
    </row>
    <row r="96" customFormat="false" ht="15" hidden="false" customHeight="false" outlineLevel="0" collapsed="false">
      <c r="A96" s="46" t="s">
        <v>407</v>
      </c>
      <c r="B96" s="46" t="s">
        <v>23</v>
      </c>
      <c r="C96" s="46" t="s">
        <v>16</v>
      </c>
      <c r="D96" s="46" t="s">
        <v>396</v>
      </c>
      <c r="E96" s="46" t="s">
        <v>408</v>
      </c>
      <c r="F96" s="46" t="s">
        <v>409</v>
      </c>
      <c r="G96" s="47" t="n">
        <f aca="false">COUNTIF('Screen Inventory'!$F:$F,"M04.01.04")</f>
        <v>1</v>
      </c>
      <c r="H96" s="50" t="s">
        <v>35</v>
      </c>
      <c r="I96" s="46"/>
    </row>
    <row r="97" customFormat="false" ht="15" hidden="false" customHeight="false" outlineLevel="0" collapsed="false">
      <c r="A97" s="46" t="s">
        <v>410</v>
      </c>
      <c r="B97" s="46" t="s">
        <v>23</v>
      </c>
      <c r="C97" s="46" t="s">
        <v>16</v>
      </c>
      <c r="D97" s="46" t="s">
        <v>396</v>
      </c>
      <c r="E97" s="46" t="s">
        <v>411</v>
      </c>
      <c r="F97" s="46" t="s">
        <v>412</v>
      </c>
      <c r="G97" s="47" t="n">
        <f aca="false">COUNTIF('Screen Inventory'!$F:$F,"M04.01.05")</f>
        <v>1</v>
      </c>
      <c r="H97" s="50" t="s">
        <v>35</v>
      </c>
      <c r="I97" s="46"/>
    </row>
    <row r="98" customFormat="false" ht="15" hidden="false" customHeight="false" outlineLevel="0" collapsed="false">
      <c r="A98" s="44" t="s">
        <v>413</v>
      </c>
      <c r="B98" s="44" t="s">
        <v>22</v>
      </c>
      <c r="C98" s="44" t="s">
        <v>16</v>
      </c>
      <c r="D98" s="44" t="s">
        <v>414</v>
      </c>
      <c r="E98" s="44"/>
      <c r="F98" s="44" t="s">
        <v>415</v>
      </c>
      <c r="G98" s="45" t="n">
        <f aca="false">COUNTIF('Screen Inventory'!$D:$D,"M04.02")</f>
        <v>1</v>
      </c>
      <c r="H98" s="44"/>
      <c r="I98" s="44"/>
    </row>
    <row r="99" customFormat="false" ht="23.85" hidden="false" customHeight="false" outlineLevel="0" collapsed="false">
      <c r="A99" s="46" t="s">
        <v>416</v>
      </c>
      <c r="B99" s="46" t="s">
        <v>23</v>
      </c>
      <c r="C99" s="46" t="s">
        <v>16</v>
      </c>
      <c r="D99" s="46" t="s">
        <v>414</v>
      </c>
      <c r="E99" s="46" t="s">
        <v>417</v>
      </c>
      <c r="F99" s="46" t="s">
        <v>418</v>
      </c>
      <c r="G99" s="47" t="n">
        <f aca="false">COUNTIF('Screen Inventory'!$F:$F,"M04.02.01")</f>
        <v>1</v>
      </c>
      <c r="H99" s="50" t="s">
        <v>35</v>
      </c>
      <c r="I99" s="46"/>
    </row>
    <row r="100" customFormat="false" ht="15" hidden="false" customHeight="false" outlineLevel="0" collapsed="false">
      <c r="A100" s="57" t="s">
        <v>17</v>
      </c>
      <c r="B100" s="57" t="s">
        <v>3</v>
      </c>
      <c r="C100" s="57" t="s">
        <v>18</v>
      </c>
      <c r="D100" s="57"/>
      <c r="E100" s="57"/>
      <c r="F100" s="57" t="s">
        <v>419</v>
      </c>
      <c r="G100" s="58" t="n">
        <f aca="false">COUNTIF('Screen Inventory'!$B:$B,"M05")</f>
        <v>11</v>
      </c>
      <c r="H100" s="57"/>
      <c r="I100" s="57"/>
    </row>
    <row r="101" customFormat="false" ht="15" hidden="false" customHeight="false" outlineLevel="0" collapsed="false">
      <c r="A101" s="44" t="s">
        <v>420</v>
      </c>
      <c r="B101" s="44" t="s">
        <v>22</v>
      </c>
      <c r="C101" s="44" t="s">
        <v>18</v>
      </c>
      <c r="D101" s="44" t="s">
        <v>421</v>
      </c>
      <c r="E101" s="44"/>
      <c r="F101" s="44" t="s">
        <v>422</v>
      </c>
      <c r="G101" s="45" t="n">
        <f aca="false">COUNTIF('Screen Inventory'!$D:$D,"M05.01")</f>
        <v>6</v>
      </c>
      <c r="H101" s="44"/>
      <c r="I101" s="44"/>
    </row>
    <row r="102" customFormat="false" ht="15" hidden="false" customHeight="false" outlineLevel="0" collapsed="false">
      <c r="A102" s="46" t="s">
        <v>423</v>
      </c>
      <c r="B102" s="46" t="s">
        <v>23</v>
      </c>
      <c r="C102" s="46" t="s">
        <v>18</v>
      </c>
      <c r="D102" s="46" t="s">
        <v>421</v>
      </c>
      <c r="E102" s="46" t="s">
        <v>424</v>
      </c>
      <c r="F102" s="46" t="s">
        <v>425</v>
      </c>
      <c r="G102" s="47" t="n">
        <f aca="false">COUNTIF('Screen Inventory'!$F:$F,"M05.01.01")</f>
        <v>1</v>
      </c>
      <c r="H102" s="50" t="s">
        <v>35</v>
      </c>
      <c r="I102" s="46"/>
    </row>
    <row r="103" customFormat="false" ht="15" hidden="false" customHeight="false" outlineLevel="0" collapsed="false">
      <c r="A103" s="46" t="s">
        <v>426</v>
      </c>
      <c r="B103" s="46" t="s">
        <v>23</v>
      </c>
      <c r="C103" s="46" t="s">
        <v>18</v>
      </c>
      <c r="D103" s="46" t="s">
        <v>421</v>
      </c>
      <c r="E103" s="46" t="s">
        <v>427</v>
      </c>
      <c r="F103" s="46" t="s">
        <v>428</v>
      </c>
      <c r="G103" s="47" t="n">
        <f aca="false">COUNTIF('Screen Inventory'!$F:$F,"M05.01.02")</f>
        <v>1</v>
      </c>
      <c r="H103" s="50" t="s">
        <v>35</v>
      </c>
      <c r="I103" s="46"/>
    </row>
    <row r="104" customFormat="false" ht="15" hidden="false" customHeight="false" outlineLevel="0" collapsed="false">
      <c r="A104" s="46" t="s">
        <v>429</v>
      </c>
      <c r="B104" s="46" t="s">
        <v>23</v>
      </c>
      <c r="C104" s="46" t="s">
        <v>18</v>
      </c>
      <c r="D104" s="46" t="s">
        <v>421</v>
      </c>
      <c r="E104" s="46" t="s">
        <v>430</v>
      </c>
      <c r="F104" s="46" t="s">
        <v>431</v>
      </c>
      <c r="G104" s="47" t="n">
        <f aca="false">COUNTIF('Screen Inventory'!$F:$F,"M05.01.03")</f>
        <v>1</v>
      </c>
      <c r="H104" s="50" t="s">
        <v>35</v>
      </c>
      <c r="I104" s="46"/>
    </row>
    <row r="105" customFormat="false" ht="15" hidden="false" customHeight="false" outlineLevel="0" collapsed="false">
      <c r="A105" s="46" t="s">
        <v>432</v>
      </c>
      <c r="B105" s="46" t="s">
        <v>23</v>
      </c>
      <c r="C105" s="46" t="s">
        <v>18</v>
      </c>
      <c r="D105" s="46" t="s">
        <v>421</v>
      </c>
      <c r="E105" s="46" t="s">
        <v>433</v>
      </c>
      <c r="F105" s="46" t="s">
        <v>434</v>
      </c>
      <c r="G105" s="47" t="n">
        <f aca="false">COUNTIF('Screen Inventory'!$F:$F,"M05.01.04")</f>
        <v>1</v>
      </c>
      <c r="H105" s="50" t="s">
        <v>35</v>
      </c>
      <c r="I105" s="46"/>
    </row>
    <row r="106" customFormat="false" ht="15" hidden="false" customHeight="false" outlineLevel="0" collapsed="false">
      <c r="A106" s="46" t="s">
        <v>435</v>
      </c>
      <c r="B106" s="46" t="s">
        <v>23</v>
      </c>
      <c r="C106" s="46" t="s">
        <v>18</v>
      </c>
      <c r="D106" s="46" t="s">
        <v>421</v>
      </c>
      <c r="E106" s="46" t="s">
        <v>436</v>
      </c>
      <c r="F106" s="46" t="s">
        <v>437</v>
      </c>
      <c r="G106" s="47" t="n">
        <f aca="false">COUNTIF('Screen Inventory'!$F:$F,"M05.01.05")</f>
        <v>1</v>
      </c>
      <c r="H106" s="50" t="s">
        <v>35</v>
      </c>
      <c r="I106" s="46"/>
    </row>
    <row r="107" customFormat="false" ht="15" hidden="false" customHeight="false" outlineLevel="0" collapsed="false">
      <c r="A107" s="46" t="s">
        <v>438</v>
      </c>
      <c r="B107" s="46" t="s">
        <v>23</v>
      </c>
      <c r="C107" s="46" t="s">
        <v>18</v>
      </c>
      <c r="D107" s="46" t="s">
        <v>421</v>
      </c>
      <c r="E107" s="46" t="s">
        <v>439</v>
      </c>
      <c r="F107" s="46" t="s">
        <v>440</v>
      </c>
      <c r="G107" s="47" t="n">
        <f aca="false">COUNTIF('Screen Inventory'!$F:$F,"M05.01.06")</f>
        <v>1</v>
      </c>
      <c r="H107" s="50" t="s">
        <v>35</v>
      </c>
      <c r="I107" s="46"/>
    </row>
    <row r="108" customFormat="false" ht="15" hidden="false" customHeight="false" outlineLevel="0" collapsed="false">
      <c r="A108" s="44" t="s">
        <v>441</v>
      </c>
      <c r="B108" s="44" t="s">
        <v>22</v>
      </c>
      <c r="C108" s="44" t="s">
        <v>18</v>
      </c>
      <c r="D108" s="44" t="s">
        <v>442</v>
      </c>
      <c r="E108" s="44"/>
      <c r="F108" s="44" t="s">
        <v>443</v>
      </c>
      <c r="G108" s="45" t="n">
        <f aca="false">COUNTIF('Screen Inventory'!$D:$D,"M05.02")</f>
        <v>5</v>
      </c>
      <c r="H108" s="44"/>
      <c r="I108" s="44"/>
    </row>
    <row r="109" customFormat="false" ht="15" hidden="false" customHeight="false" outlineLevel="0" collapsed="false">
      <c r="A109" s="46" t="s">
        <v>444</v>
      </c>
      <c r="B109" s="46" t="s">
        <v>23</v>
      </c>
      <c r="C109" s="46" t="s">
        <v>18</v>
      </c>
      <c r="D109" s="46" t="s">
        <v>442</v>
      </c>
      <c r="E109" s="46" t="s">
        <v>445</v>
      </c>
      <c r="F109" s="46" t="s">
        <v>446</v>
      </c>
      <c r="G109" s="47" t="n">
        <f aca="false">COUNTIF('Screen Inventory'!$F:$F,"M05.02.01")</f>
        <v>1</v>
      </c>
      <c r="H109" s="50" t="s">
        <v>35</v>
      </c>
      <c r="I109" s="46"/>
    </row>
    <row r="110" customFormat="false" ht="15" hidden="false" customHeight="false" outlineLevel="0" collapsed="false">
      <c r="A110" s="46" t="s">
        <v>447</v>
      </c>
      <c r="B110" s="46" t="s">
        <v>23</v>
      </c>
      <c r="C110" s="46" t="s">
        <v>18</v>
      </c>
      <c r="D110" s="46" t="s">
        <v>442</v>
      </c>
      <c r="E110" s="46" t="s">
        <v>448</v>
      </c>
      <c r="F110" s="46" t="s">
        <v>449</v>
      </c>
      <c r="G110" s="47" t="n">
        <f aca="false">COUNTIF('Screen Inventory'!$F:$F,"M05.02.02")</f>
        <v>1</v>
      </c>
      <c r="H110" s="50" t="s">
        <v>35</v>
      </c>
      <c r="I110" s="46"/>
    </row>
    <row r="111" customFormat="false" ht="15" hidden="false" customHeight="false" outlineLevel="0" collapsed="false">
      <c r="A111" s="46" t="s">
        <v>450</v>
      </c>
      <c r="B111" s="46" t="s">
        <v>23</v>
      </c>
      <c r="C111" s="46" t="s">
        <v>18</v>
      </c>
      <c r="D111" s="46" t="s">
        <v>442</v>
      </c>
      <c r="E111" s="46" t="s">
        <v>451</v>
      </c>
      <c r="F111" s="46" t="s">
        <v>452</v>
      </c>
      <c r="G111" s="47" t="n">
        <f aca="false">COUNTIF('Screen Inventory'!$F:$F,"M05.02.03")</f>
        <v>1</v>
      </c>
      <c r="H111" s="50" t="s">
        <v>35</v>
      </c>
      <c r="I111" s="46"/>
    </row>
    <row r="112" customFormat="false" ht="15" hidden="false" customHeight="false" outlineLevel="0" collapsed="false">
      <c r="A112" s="46" t="s">
        <v>453</v>
      </c>
      <c r="B112" s="46" t="s">
        <v>23</v>
      </c>
      <c r="C112" s="46" t="s">
        <v>18</v>
      </c>
      <c r="D112" s="46" t="s">
        <v>442</v>
      </c>
      <c r="E112" s="46" t="s">
        <v>454</v>
      </c>
      <c r="F112" s="46" t="s">
        <v>455</v>
      </c>
      <c r="G112" s="47" t="n">
        <f aca="false">COUNTIF('Screen Inventory'!$F:$F,"M05.02.04")</f>
        <v>1</v>
      </c>
      <c r="H112" s="50" t="s">
        <v>35</v>
      </c>
      <c r="I112" s="46"/>
    </row>
    <row r="113" customFormat="false" ht="15" hidden="false" customHeight="false" outlineLevel="0" collapsed="false">
      <c r="A113" s="46" t="s">
        <v>456</v>
      </c>
      <c r="B113" s="46" t="s">
        <v>23</v>
      </c>
      <c r="C113" s="46" t="s">
        <v>18</v>
      </c>
      <c r="D113" s="46" t="s">
        <v>442</v>
      </c>
      <c r="E113" s="46" t="s">
        <v>457</v>
      </c>
      <c r="F113" s="46" t="s">
        <v>458</v>
      </c>
      <c r="G113" s="47" t="n">
        <f aca="false">COUNTIF('Screen Inventory'!$F:$F,"M05.02.05")</f>
        <v>1</v>
      </c>
      <c r="H113" s="50" t="s">
        <v>35</v>
      </c>
      <c r="I113" s="46"/>
    </row>
  </sheetData>
  <autoFilter ref="A4:I113"/>
  <mergeCells count="2">
    <mergeCell ref="A1:I1"/>
    <mergeCell ref="A2:I2"/>
  </mergeCells>
  <hyperlinks>
    <hyperlink ref="H14" r:id="rId1" display="Open"/>
    <hyperlink ref="H22" r:id="rId2" display="Open"/>
    <hyperlink ref="H23" r:id="rId3" display="Open"/>
    <hyperlink ref="H24" r:id="rId4" display="Open"/>
    <hyperlink ref="H25" r:id="rId5" display="Open"/>
    <hyperlink ref="H29" r:id="rId6" display="Open"/>
    <hyperlink ref="H30" r:id="rId7" display="Open"/>
    <hyperlink ref="H31" r:id="rId8" display="Open"/>
    <hyperlink ref="H32" r:id="rId9" display="Open"/>
    <hyperlink ref="H33" r:id="rId10" display="Open"/>
    <hyperlink ref="H34" r:id="rId11" display="Open"/>
    <hyperlink ref="H35" r:id="rId12" display="Open"/>
    <hyperlink ref="H37" r:id="rId13" display="Open"/>
    <hyperlink ref="H38" r:id="rId14" display="Open"/>
    <hyperlink ref="H39" r:id="rId15" display="Open"/>
    <hyperlink ref="H40" r:id="rId16" display="Open"/>
    <hyperlink ref="H41" r:id="rId17" display="Open"/>
    <hyperlink ref="H43" r:id="rId18" display="Open"/>
    <hyperlink ref="H44" r:id="rId19" display="Open"/>
    <hyperlink ref="H47" r:id="rId20" display="Open"/>
    <hyperlink ref="H49" r:id="rId21" display="Open"/>
    <hyperlink ref="H50" r:id="rId22" display="Open"/>
    <hyperlink ref="H51" r:id="rId23" display="Open"/>
    <hyperlink ref="H52" r:id="rId24" display="Open"/>
    <hyperlink ref="H53" r:id="rId25" display="Open"/>
    <hyperlink ref="H60" r:id="rId26" display="Open"/>
    <hyperlink ref="H61" r:id="rId27" display="Open"/>
    <hyperlink ref="H63" r:id="rId28" display="Open"/>
    <hyperlink ref="H64" r:id="rId29" display="Open"/>
    <hyperlink ref="H66" r:id="rId30" display="Open"/>
    <hyperlink ref="H67" r:id="rId31" display="Open"/>
    <hyperlink ref="H68" r:id="rId32" display="Open"/>
    <hyperlink ref="H70" r:id="rId33" display="Open"/>
    <hyperlink ref="H71" r:id="rId34" display="Open"/>
    <hyperlink ref="H72" r:id="rId35" display="Open"/>
    <hyperlink ref="H74" r:id="rId36" display="Open"/>
    <hyperlink ref="H76" r:id="rId37" display="Open"/>
    <hyperlink ref="H77" r:id="rId38" display="Open"/>
    <hyperlink ref="H78" r:id="rId39" display="Open"/>
    <hyperlink ref="H79" r:id="rId40" display="Open"/>
    <hyperlink ref="H80" r:id="rId41" display="Open"/>
    <hyperlink ref="H81" r:id="rId42" display="Open"/>
    <hyperlink ref="H82" r:id="rId43" display="Open"/>
    <hyperlink ref="H83" r:id="rId44" display="Open"/>
    <hyperlink ref="H84" r:id="rId45" display="Open"/>
    <hyperlink ref="H86" r:id="rId46" display="Open"/>
    <hyperlink ref="H87" r:id="rId47" display="Open"/>
    <hyperlink ref="H88" r:id="rId48" display="Open"/>
    <hyperlink ref="H89" r:id="rId49" display="Open"/>
    <hyperlink ref="H90" r:id="rId50" display="Open"/>
    <hyperlink ref="H93" r:id="rId51" display="Open"/>
    <hyperlink ref="H94" r:id="rId52" display="Open"/>
    <hyperlink ref="H95" r:id="rId53" display="Open"/>
    <hyperlink ref="H96" r:id="rId54" display="Open"/>
    <hyperlink ref="H97" r:id="rId55" display="Open"/>
    <hyperlink ref="H99" r:id="rId56" display="Open"/>
    <hyperlink ref="H102" r:id="rId57" display="Open"/>
    <hyperlink ref="H103" r:id="rId58" display="Open"/>
    <hyperlink ref="H104" r:id="rId59" display="Open"/>
    <hyperlink ref="H105" r:id="rId60" display="Open"/>
    <hyperlink ref="H106" r:id="rId61" display="Open"/>
    <hyperlink ref="H107" r:id="rId62" display="Open"/>
    <hyperlink ref="H109" r:id="rId63" display="Open"/>
    <hyperlink ref="H110" r:id="rId64" display="Open"/>
    <hyperlink ref="H111" r:id="rId65" display="Open"/>
    <hyperlink ref="H112" r:id="rId66" display="Open"/>
    <hyperlink ref="H113" r:id="rId67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70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459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460</v>
      </c>
      <c r="B2" s="2"/>
      <c r="C2" s="2"/>
      <c r="D2" s="2"/>
      <c r="E2" s="2"/>
      <c r="F2" s="2"/>
      <c r="G2" s="2"/>
      <c r="H2" s="2"/>
      <c r="I2" s="2"/>
    </row>
    <row r="4" customFormat="false" ht="23.85" hidden="false" customHeight="false" outlineLevel="0" collapsed="false">
      <c r="A4" s="3" t="s">
        <v>461</v>
      </c>
      <c r="B4" s="3" t="s">
        <v>2</v>
      </c>
      <c r="C4" s="3" t="s">
        <v>3</v>
      </c>
      <c r="D4" s="3" t="s">
        <v>462</v>
      </c>
      <c r="E4" s="3" t="s">
        <v>22</v>
      </c>
      <c r="F4" s="3" t="s">
        <v>463</v>
      </c>
      <c r="G4" s="3" t="s">
        <v>23</v>
      </c>
      <c r="H4" s="3" t="s">
        <v>464</v>
      </c>
      <c r="I4" s="3" t="s">
        <v>141</v>
      </c>
    </row>
    <row r="5" customFormat="false" ht="15" hidden="false" customHeight="false" outlineLevel="0" collapsed="false">
      <c r="A5" s="46" t="n">
        <v>1</v>
      </c>
      <c r="B5" s="46" t="s">
        <v>9</v>
      </c>
      <c r="C5" s="46" t="s">
        <v>10</v>
      </c>
      <c r="D5" s="46" t="s">
        <v>164</v>
      </c>
      <c r="E5" s="46" t="s">
        <v>165</v>
      </c>
      <c r="F5" s="46" t="s">
        <v>167</v>
      </c>
      <c r="G5" s="46" t="s">
        <v>168</v>
      </c>
      <c r="H5" s="46" t="s">
        <v>465</v>
      </c>
      <c r="I5" s="50" t="s">
        <v>35</v>
      </c>
    </row>
    <row r="6" customFormat="false" ht="15" hidden="false" customHeight="false" outlineLevel="0" collapsed="false">
      <c r="A6" s="46" t="n">
        <v>2</v>
      </c>
      <c r="B6" s="46" t="s">
        <v>11</v>
      </c>
      <c r="C6" s="46" t="s">
        <v>12</v>
      </c>
      <c r="D6" s="46" t="s">
        <v>186</v>
      </c>
      <c r="E6" s="46" t="s">
        <v>187</v>
      </c>
      <c r="F6" s="46" t="s">
        <v>189</v>
      </c>
      <c r="G6" s="46" t="s">
        <v>190</v>
      </c>
      <c r="H6" s="46" t="s">
        <v>466</v>
      </c>
      <c r="I6" s="50" t="s">
        <v>35</v>
      </c>
    </row>
    <row r="7" customFormat="false" ht="15" hidden="false" customHeight="false" outlineLevel="0" collapsed="false">
      <c r="A7" s="46" t="n">
        <v>3</v>
      </c>
      <c r="B7" s="46" t="s">
        <v>11</v>
      </c>
      <c r="C7" s="46" t="s">
        <v>12</v>
      </c>
      <c r="D7" s="46" t="s">
        <v>186</v>
      </c>
      <c r="E7" s="46" t="s">
        <v>187</v>
      </c>
      <c r="F7" s="46" t="s">
        <v>189</v>
      </c>
      <c r="G7" s="46" t="s">
        <v>190</v>
      </c>
      <c r="H7" s="46" t="s">
        <v>466</v>
      </c>
      <c r="I7" s="50" t="s">
        <v>35</v>
      </c>
    </row>
    <row r="8" customFormat="false" ht="15" hidden="false" customHeight="false" outlineLevel="0" collapsed="false">
      <c r="A8" s="46" t="n">
        <v>4</v>
      </c>
      <c r="B8" s="46" t="s">
        <v>11</v>
      </c>
      <c r="C8" s="46" t="s">
        <v>12</v>
      </c>
      <c r="D8" s="46" t="s">
        <v>186</v>
      </c>
      <c r="E8" s="46" t="s">
        <v>187</v>
      </c>
      <c r="F8" s="46" t="s">
        <v>192</v>
      </c>
      <c r="G8" s="46" t="s">
        <v>193</v>
      </c>
      <c r="H8" s="46" t="s">
        <v>467</v>
      </c>
      <c r="I8" s="50" t="s">
        <v>35</v>
      </c>
    </row>
    <row r="9" customFormat="false" ht="15" hidden="false" customHeight="false" outlineLevel="0" collapsed="false">
      <c r="A9" s="46" t="n">
        <v>5</v>
      </c>
      <c r="B9" s="46" t="s">
        <v>11</v>
      </c>
      <c r="C9" s="46" t="s">
        <v>12</v>
      </c>
      <c r="D9" s="46" t="s">
        <v>186</v>
      </c>
      <c r="E9" s="46" t="s">
        <v>187</v>
      </c>
      <c r="F9" s="46" t="s">
        <v>195</v>
      </c>
      <c r="G9" s="46" t="s">
        <v>196</v>
      </c>
      <c r="H9" s="46" t="s">
        <v>468</v>
      </c>
      <c r="I9" s="50" t="s">
        <v>35</v>
      </c>
    </row>
    <row r="10" customFormat="false" ht="15" hidden="false" customHeight="false" outlineLevel="0" collapsed="false">
      <c r="A10" s="46" t="n">
        <v>6</v>
      </c>
      <c r="B10" s="46" t="s">
        <v>11</v>
      </c>
      <c r="C10" s="46" t="s">
        <v>12</v>
      </c>
      <c r="D10" s="46" t="s">
        <v>186</v>
      </c>
      <c r="E10" s="46" t="s">
        <v>187</v>
      </c>
      <c r="F10" s="46" t="s">
        <v>198</v>
      </c>
      <c r="G10" s="46" t="s">
        <v>199</v>
      </c>
      <c r="H10" s="46" t="s">
        <v>469</v>
      </c>
      <c r="I10" s="50" t="s">
        <v>35</v>
      </c>
    </row>
    <row r="11" customFormat="false" ht="15" hidden="false" customHeight="false" outlineLevel="0" collapsed="false">
      <c r="A11" s="46" t="n">
        <v>7</v>
      </c>
      <c r="B11" s="46" t="s">
        <v>11</v>
      </c>
      <c r="C11" s="46" t="s">
        <v>12</v>
      </c>
      <c r="D11" s="46" t="s">
        <v>207</v>
      </c>
      <c r="E11" s="46" t="s">
        <v>208</v>
      </c>
      <c r="F11" s="46" t="s">
        <v>210</v>
      </c>
      <c r="G11" s="46" t="s">
        <v>211</v>
      </c>
      <c r="H11" s="46" t="s">
        <v>470</v>
      </c>
      <c r="I11" s="50" t="s">
        <v>35</v>
      </c>
    </row>
    <row r="12" customFormat="false" ht="15" hidden="false" customHeight="false" outlineLevel="0" collapsed="false">
      <c r="A12" s="46" t="n">
        <v>8</v>
      </c>
      <c r="B12" s="46" t="s">
        <v>11</v>
      </c>
      <c r="C12" s="46" t="s">
        <v>12</v>
      </c>
      <c r="D12" s="46" t="s">
        <v>207</v>
      </c>
      <c r="E12" s="46" t="s">
        <v>208</v>
      </c>
      <c r="F12" s="46" t="s">
        <v>213</v>
      </c>
      <c r="G12" s="46" t="s">
        <v>214</v>
      </c>
      <c r="H12" s="46" t="s">
        <v>471</v>
      </c>
      <c r="I12" s="50" t="s">
        <v>35</v>
      </c>
    </row>
    <row r="13" customFormat="false" ht="15" hidden="false" customHeight="false" outlineLevel="0" collapsed="false">
      <c r="A13" s="46" t="n">
        <v>9</v>
      </c>
      <c r="B13" s="46" t="s">
        <v>11</v>
      </c>
      <c r="C13" s="46" t="s">
        <v>12</v>
      </c>
      <c r="D13" s="46" t="s">
        <v>207</v>
      </c>
      <c r="E13" s="46" t="s">
        <v>208</v>
      </c>
      <c r="F13" s="46" t="s">
        <v>213</v>
      </c>
      <c r="G13" s="46" t="s">
        <v>214</v>
      </c>
      <c r="H13" s="46" t="s">
        <v>472</v>
      </c>
      <c r="I13" s="50" t="s">
        <v>35</v>
      </c>
    </row>
    <row r="14" customFormat="false" ht="15" hidden="false" customHeight="false" outlineLevel="0" collapsed="false">
      <c r="A14" s="46" t="n">
        <v>10</v>
      </c>
      <c r="B14" s="46" t="s">
        <v>11</v>
      </c>
      <c r="C14" s="46" t="s">
        <v>12</v>
      </c>
      <c r="D14" s="46" t="s">
        <v>207</v>
      </c>
      <c r="E14" s="46" t="s">
        <v>208</v>
      </c>
      <c r="F14" s="46" t="s">
        <v>213</v>
      </c>
      <c r="G14" s="46" t="s">
        <v>214</v>
      </c>
      <c r="H14" s="46" t="s">
        <v>473</v>
      </c>
      <c r="I14" s="50" t="s">
        <v>35</v>
      </c>
    </row>
    <row r="15" customFormat="false" ht="15" hidden="false" customHeight="false" outlineLevel="0" collapsed="false">
      <c r="A15" s="46" t="n">
        <v>11</v>
      </c>
      <c r="B15" s="46" t="s">
        <v>11</v>
      </c>
      <c r="C15" s="46" t="s">
        <v>12</v>
      </c>
      <c r="D15" s="46" t="s">
        <v>207</v>
      </c>
      <c r="E15" s="46" t="s">
        <v>208</v>
      </c>
      <c r="F15" s="46" t="s">
        <v>213</v>
      </c>
      <c r="G15" s="46" t="s">
        <v>214</v>
      </c>
      <c r="H15" s="46" t="s">
        <v>474</v>
      </c>
      <c r="I15" s="50" t="s">
        <v>35</v>
      </c>
    </row>
    <row r="16" customFormat="false" ht="15" hidden="false" customHeight="false" outlineLevel="0" collapsed="false">
      <c r="A16" s="46" t="n">
        <v>12</v>
      </c>
      <c r="B16" s="46" t="s">
        <v>11</v>
      </c>
      <c r="C16" s="46" t="s">
        <v>12</v>
      </c>
      <c r="D16" s="46" t="s">
        <v>207</v>
      </c>
      <c r="E16" s="46" t="s">
        <v>208</v>
      </c>
      <c r="F16" s="46" t="s">
        <v>213</v>
      </c>
      <c r="G16" s="46" t="s">
        <v>214</v>
      </c>
      <c r="H16" s="46" t="s">
        <v>475</v>
      </c>
      <c r="I16" s="50" t="s">
        <v>35</v>
      </c>
    </row>
    <row r="17" customFormat="false" ht="15" hidden="false" customHeight="false" outlineLevel="0" collapsed="false">
      <c r="A17" s="46" t="n">
        <v>13</v>
      </c>
      <c r="B17" s="46" t="s">
        <v>11</v>
      </c>
      <c r="C17" s="46" t="s">
        <v>12</v>
      </c>
      <c r="D17" s="46" t="s">
        <v>207</v>
      </c>
      <c r="E17" s="46" t="s">
        <v>208</v>
      </c>
      <c r="F17" s="46" t="s">
        <v>213</v>
      </c>
      <c r="G17" s="46" t="s">
        <v>214</v>
      </c>
      <c r="H17" s="46" t="s">
        <v>475</v>
      </c>
      <c r="I17" s="50" t="s">
        <v>35</v>
      </c>
    </row>
    <row r="18" customFormat="false" ht="15" hidden="false" customHeight="false" outlineLevel="0" collapsed="false">
      <c r="A18" s="46" t="n">
        <v>14</v>
      </c>
      <c r="B18" s="46" t="s">
        <v>11</v>
      </c>
      <c r="C18" s="46" t="s">
        <v>12</v>
      </c>
      <c r="D18" s="46" t="s">
        <v>207</v>
      </c>
      <c r="E18" s="46" t="s">
        <v>208</v>
      </c>
      <c r="F18" s="46" t="s">
        <v>216</v>
      </c>
      <c r="G18" s="46" t="s">
        <v>217</v>
      </c>
      <c r="H18" s="46" t="s">
        <v>476</v>
      </c>
      <c r="I18" s="50" t="s">
        <v>35</v>
      </c>
    </row>
    <row r="19" customFormat="false" ht="15" hidden="false" customHeight="false" outlineLevel="0" collapsed="false">
      <c r="A19" s="46" t="n">
        <v>15</v>
      </c>
      <c r="B19" s="46" t="s">
        <v>11</v>
      </c>
      <c r="C19" s="46" t="s">
        <v>12</v>
      </c>
      <c r="D19" s="46" t="s">
        <v>207</v>
      </c>
      <c r="E19" s="46" t="s">
        <v>208</v>
      </c>
      <c r="F19" s="46" t="s">
        <v>219</v>
      </c>
      <c r="G19" s="46" t="s">
        <v>220</v>
      </c>
      <c r="H19" s="46" t="s">
        <v>477</v>
      </c>
      <c r="I19" s="50" t="s">
        <v>35</v>
      </c>
    </row>
    <row r="20" customFormat="false" ht="15" hidden="false" customHeight="false" outlineLevel="0" collapsed="false">
      <c r="A20" s="46" t="n">
        <v>16</v>
      </c>
      <c r="B20" s="46" t="s">
        <v>11</v>
      </c>
      <c r="C20" s="46" t="s">
        <v>12</v>
      </c>
      <c r="D20" s="46" t="s">
        <v>207</v>
      </c>
      <c r="E20" s="46" t="s">
        <v>208</v>
      </c>
      <c r="F20" s="46" t="s">
        <v>222</v>
      </c>
      <c r="G20" s="46" t="s">
        <v>223</v>
      </c>
      <c r="H20" s="46" t="s">
        <v>478</v>
      </c>
      <c r="I20" s="50" t="s">
        <v>35</v>
      </c>
    </row>
    <row r="21" customFormat="false" ht="15" hidden="false" customHeight="false" outlineLevel="0" collapsed="false">
      <c r="A21" s="46" t="n">
        <v>17</v>
      </c>
      <c r="B21" s="46" t="s">
        <v>11</v>
      </c>
      <c r="C21" s="46" t="s">
        <v>12</v>
      </c>
      <c r="D21" s="46" t="s">
        <v>207</v>
      </c>
      <c r="E21" s="46" t="s">
        <v>208</v>
      </c>
      <c r="F21" s="46" t="s">
        <v>225</v>
      </c>
      <c r="G21" s="46" t="s">
        <v>226</v>
      </c>
      <c r="H21" s="46" t="s">
        <v>479</v>
      </c>
      <c r="I21" s="50" t="s">
        <v>35</v>
      </c>
    </row>
    <row r="22" customFormat="false" ht="15" hidden="false" customHeight="false" outlineLevel="0" collapsed="false">
      <c r="A22" s="46" t="n">
        <v>18</v>
      </c>
      <c r="B22" s="46" t="s">
        <v>11</v>
      </c>
      <c r="C22" s="46" t="s">
        <v>12</v>
      </c>
      <c r="D22" s="46" t="s">
        <v>207</v>
      </c>
      <c r="E22" s="46" t="s">
        <v>208</v>
      </c>
      <c r="F22" s="46" t="s">
        <v>228</v>
      </c>
      <c r="G22" s="46" t="s">
        <v>229</v>
      </c>
      <c r="H22" s="46" t="s">
        <v>480</v>
      </c>
      <c r="I22" s="50" t="s">
        <v>35</v>
      </c>
    </row>
    <row r="23" customFormat="false" ht="15" hidden="false" customHeight="false" outlineLevel="0" collapsed="false">
      <c r="A23" s="46" t="n">
        <v>19</v>
      </c>
      <c r="B23" s="46" t="s">
        <v>11</v>
      </c>
      <c r="C23" s="46" t="s">
        <v>12</v>
      </c>
      <c r="D23" s="46" t="s">
        <v>231</v>
      </c>
      <c r="E23" s="46" t="s">
        <v>232</v>
      </c>
      <c r="F23" s="46" t="s">
        <v>234</v>
      </c>
      <c r="G23" s="46" t="s">
        <v>235</v>
      </c>
      <c r="H23" s="46" t="s">
        <v>481</v>
      </c>
      <c r="I23" s="50" t="s">
        <v>35</v>
      </c>
    </row>
    <row r="24" customFormat="false" ht="15" hidden="false" customHeight="false" outlineLevel="0" collapsed="false">
      <c r="A24" s="46" t="n">
        <v>20</v>
      </c>
      <c r="B24" s="46" t="s">
        <v>11</v>
      </c>
      <c r="C24" s="46" t="s">
        <v>12</v>
      </c>
      <c r="D24" s="46" t="s">
        <v>231</v>
      </c>
      <c r="E24" s="46" t="s">
        <v>232</v>
      </c>
      <c r="F24" s="46" t="s">
        <v>234</v>
      </c>
      <c r="G24" s="46" t="s">
        <v>235</v>
      </c>
      <c r="H24" s="46" t="s">
        <v>482</v>
      </c>
      <c r="I24" s="50" t="s">
        <v>35</v>
      </c>
    </row>
    <row r="25" customFormat="false" ht="15" hidden="false" customHeight="false" outlineLevel="0" collapsed="false">
      <c r="A25" s="46" t="n">
        <v>21</v>
      </c>
      <c r="B25" s="46" t="s">
        <v>11</v>
      </c>
      <c r="C25" s="46" t="s">
        <v>12</v>
      </c>
      <c r="D25" s="46" t="s">
        <v>231</v>
      </c>
      <c r="E25" s="46" t="s">
        <v>232</v>
      </c>
      <c r="F25" s="46" t="s">
        <v>234</v>
      </c>
      <c r="G25" s="46" t="s">
        <v>235</v>
      </c>
      <c r="H25" s="46" t="s">
        <v>483</v>
      </c>
      <c r="I25" s="50" t="s">
        <v>35</v>
      </c>
    </row>
    <row r="26" customFormat="false" ht="15" hidden="false" customHeight="false" outlineLevel="0" collapsed="false">
      <c r="A26" s="46" t="n">
        <v>22</v>
      </c>
      <c r="B26" s="46" t="s">
        <v>11</v>
      </c>
      <c r="C26" s="46" t="s">
        <v>12</v>
      </c>
      <c r="D26" s="46" t="s">
        <v>231</v>
      </c>
      <c r="E26" s="46" t="s">
        <v>232</v>
      </c>
      <c r="F26" s="46" t="s">
        <v>237</v>
      </c>
      <c r="G26" s="46" t="s">
        <v>238</v>
      </c>
      <c r="H26" s="46" t="s">
        <v>484</v>
      </c>
      <c r="I26" s="50" t="s">
        <v>35</v>
      </c>
    </row>
    <row r="27" customFormat="false" ht="15" hidden="false" customHeight="false" outlineLevel="0" collapsed="false">
      <c r="A27" s="46" t="n">
        <v>23</v>
      </c>
      <c r="B27" s="46" t="s">
        <v>11</v>
      </c>
      <c r="C27" s="46" t="s">
        <v>12</v>
      </c>
      <c r="D27" s="46" t="s">
        <v>231</v>
      </c>
      <c r="E27" s="46" t="s">
        <v>232</v>
      </c>
      <c r="F27" s="46" t="s">
        <v>240</v>
      </c>
      <c r="G27" s="46" t="s">
        <v>241</v>
      </c>
      <c r="H27" s="46" t="s">
        <v>485</v>
      </c>
      <c r="I27" s="50" t="s">
        <v>35</v>
      </c>
    </row>
    <row r="28" customFormat="false" ht="15" hidden="false" customHeight="false" outlineLevel="0" collapsed="false">
      <c r="A28" s="46" t="n">
        <v>24</v>
      </c>
      <c r="B28" s="46" t="s">
        <v>11</v>
      </c>
      <c r="C28" s="46" t="s">
        <v>12</v>
      </c>
      <c r="D28" s="46" t="s">
        <v>231</v>
      </c>
      <c r="E28" s="46" t="s">
        <v>232</v>
      </c>
      <c r="F28" s="46" t="s">
        <v>243</v>
      </c>
      <c r="G28" s="46" t="s">
        <v>244</v>
      </c>
      <c r="H28" s="46" t="s">
        <v>486</v>
      </c>
      <c r="I28" s="50" t="s">
        <v>35</v>
      </c>
    </row>
    <row r="29" customFormat="false" ht="15" hidden="false" customHeight="false" outlineLevel="0" collapsed="false">
      <c r="A29" s="46" t="n">
        <v>25</v>
      </c>
      <c r="B29" s="46" t="s">
        <v>11</v>
      </c>
      <c r="C29" s="46" t="s">
        <v>12</v>
      </c>
      <c r="D29" s="46" t="s">
        <v>231</v>
      </c>
      <c r="E29" s="46" t="s">
        <v>232</v>
      </c>
      <c r="F29" s="46" t="s">
        <v>246</v>
      </c>
      <c r="G29" s="46" t="s">
        <v>247</v>
      </c>
      <c r="H29" s="46" t="s">
        <v>487</v>
      </c>
      <c r="I29" s="50" t="s">
        <v>35</v>
      </c>
    </row>
    <row r="30" customFormat="false" ht="15" hidden="false" customHeight="false" outlineLevel="0" collapsed="false">
      <c r="A30" s="46" t="n">
        <v>26</v>
      </c>
      <c r="B30" s="46" t="s">
        <v>11</v>
      </c>
      <c r="C30" s="46" t="s">
        <v>12</v>
      </c>
      <c r="D30" s="46" t="s">
        <v>249</v>
      </c>
      <c r="E30" s="46" t="s">
        <v>250</v>
      </c>
      <c r="F30" s="46" t="s">
        <v>252</v>
      </c>
      <c r="G30" s="46" t="s">
        <v>253</v>
      </c>
      <c r="H30" s="46" t="s">
        <v>488</v>
      </c>
      <c r="I30" s="50" t="s">
        <v>35</v>
      </c>
    </row>
    <row r="31" customFormat="false" ht="15" hidden="false" customHeight="false" outlineLevel="0" collapsed="false">
      <c r="A31" s="46" t="n">
        <v>27</v>
      </c>
      <c r="B31" s="46" t="s">
        <v>11</v>
      </c>
      <c r="C31" s="46" t="s">
        <v>12</v>
      </c>
      <c r="D31" s="46" t="s">
        <v>249</v>
      </c>
      <c r="E31" s="46" t="s">
        <v>250</v>
      </c>
      <c r="F31" s="46" t="s">
        <v>255</v>
      </c>
      <c r="G31" s="46" t="s">
        <v>256</v>
      </c>
      <c r="H31" s="46" t="s">
        <v>489</v>
      </c>
      <c r="I31" s="50" t="s">
        <v>35</v>
      </c>
    </row>
    <row r="32" customFormat="false" ht="15" hidden="false" customHeight="false" outlineLevel="0" collapsed="false">
      <c r="A32" s="46" t="n">
        <v>28</v>
      </c>
      <c r="B32" s="46" t="s">
        <v>13</v>
      </c>
      <c r="C32" s="46" t="s">
        <v>14</v>
      </c>
      <c r="D32" s="46" t="s">
        <v>259</v>
      </c>
      <c r="E32" s="46" t="s">
        <v>260</v>
      </c>
      <c r="F32" s="46" t="s">
        <v>262</v>
      </c>
      <c r="G32" s="46" t="s">
        <v>263</v>
      </c>
      <c r="H32" s="46" t="s">
        <v>490</v>
      </c>
      <c r="I32" s="50" t="s">
        <v>35</v>
      </c>
    </row>
    <row r="33" customFormat="false" ht="15" hidden="false" customHeight="false" outlineLevel="0" collapsed="false">
      <c r="A33" s="46" t="n">
        <v>29</v>
      </c>
      <c r="B33" s="46" t="s">
        <v>13</v>
      </c>
      <c r="C33" s="46" t="s">
        <v>14</v>
      </c>
      <c r="D33" s="46" t="s">
        <v>265</v>
      </c>
      <c r="E33" s="46" t="s">
        <v>266</v>
      </c>
      <c r="F33" s="46" t="s">
        <v>268</v>
      </c>
      <c r="G33" s="46" t="s">
        <v>269</v>
      </c>
      <c r="H33" s="46" t="s">
        <v>491</v>
      </c>
      <c r="I33" s="50" t="s">
        <v>35</v>
      </c>
    </row>
    <row r="34" customFormat="false" ht="15" hidden="false" customHeight="false" outlineLevel="0" collapsed="false">
      <c r="A34" s="46" t="n">
        <v>30</v>
      </c>
      <c r="B34" s="46" t="s">
        <v>13</v>
      </c>
      <c r="C34" s="46" t="s">
        <v>14</v>
      </c>
      <c r="D34" s="46" t="s">
        <v>265</v>
      </c>
      <c r="E34" s="46" t="s">
        <v>266</v>
      </c>
      <c r="F34" s="46" t="s">
        <v>271</v>
      </c>
      <c r="G34" s="46" t="s">
        <v>272</v>
      </c>
      <c r="H34" s="46" t="s">
        <v>492</v>
      </c>
      <c r="I34" s="50" t="s">
        <v>35</v>
      </c>
    </row>
    <row r="35" customFormat="false" ht="15" hidden="false" customHeight="false" outlineLevel="0" collapsed="false">
      <c r="A35" s="46" t="n">
        <v>31</v>
      </c>
      <c r="B35" s="46" t="s">
        <v>13</v>
      </c>
      <c r="C35" s="46" t="s">
        <v>14</v>
      </c>
      <c r="D35" s="46" t="s">
        <v>265</v>
      </c>
      <c r="E35" s="46" t="s">
        <v>266</v>
      </c>
      <c r="F35" s="46" t="s">
        <v>274</v>
      </c>
      <c r="G35" s="46" t="s">
        <v>275</v>
      </c>
      <c r="H35" s="46" t="s">
        <v>493</v>
      </c>
      <c r="I35" s="50" t="s">
        <v>35</v>
      </c>
    </row>
    <row r="36" customFormat="false" ht="15" hidden="false" customHeight="false" outlineLevel="0" collapsed="false">
      <c r="A36" s="46" t="n">
        <v>32</v>
      </c>
      <c r="B36" s="46" t="s">
        <v>13</v>
      </c>
      <c r="C36" s="46" t="s">
        <v>14</v>
      </c>
      <c r="D36" s="46" t="s">
        <v>265</v>
      </c>
      <c r="E36" s="46" t="s">
        <v>266</v>
      </c>
      <c r="F36" s="46" t="s">
        <v>277</v>
      </c>
      <c r="G36" s="46" t="s">
        <v>278</v>
      </c>
      <c r="H36" s="46" t="s">
        <v>494</v>
      </c>
      <c r="I36" s="50" t="s">
        <v>35</v>
      </c>
    </row>
    <row r="37" customFormat="false" ht="15" hidden="false" customHeight="false" outlineLevel="0" collapsed="false">
      <c r="A37" s="46" t="n">
        <v>33</v>
      </c>
      <c r="B37" s="46" t="s">
        <v>13</v>
      </c>
      <c r="C37" s="46" t="s">
        <v>14</v>
      </c>
      <c r="D37" s="46" t="s">
        <v>265</v>
      </c>
      <c r="E37" s="46" t="s">
        <v>266</v>
      </c>
      <c r="F37" s="46" t="s">
        <v>280</v>
      </c>
      <c r="G37" s="46" t="s">
        <v>281</v>
      </c>
      <c r="H37" s="46" t="s">
        <v>495</v>
      </c>
      <c r="I37" s="50" t="s">
        <v>35</v>
      </c>
    </row>
    <row r="38" customFormat="false" ht="15" hidden="false" customHeight="false" outlineLevel="0" collapsed="false">
      <c r="A38" s="46" t="n">
        <v>34</v>
      </c>
      <c r="B38" s="46" t="s">
        <v>13</v>
      </c>
      <c r="C38" s="46" t="s">
        <v>14</v>
      </c>
      <c r="D38" s="46" t="s">
        <v>298</v>
      </c>
      <c r="E38" s="46" t="s">
        <v>299</v>
      </c>
      <c r="F38" s="46" t="s">
        <v>301</v>
      </c>
      <c r="G38" s="46" t="s">
        <v>302</v>
      </c>
      <c r="H38" s="46" t="s">
        <v>496</v>
      </c>
      <c r="I38" s="50" t="s">
        <v>35</v>
      </c>
    </row>
    <row r="39" customFormat="false" ht="15" hidden="false" customHeight="false" outlineLevel="0" collapsed="false">
      <c r="A39" s="46" t="n">
        <v>35</v>
      </c>
      <c r="B39" s="46" t="s">
        <v>13</v>
      </c>
      <c r="C39" s="46" t="s">
        <v>14</v>
      </c>
      <c r="D39" s="46" t="s">
        <v>298</v>
      </c>
      <c r="E39" s="46" t="s">
        <v>299</v>
      </c>
      <c r="F39" s="46" t="s">
        <v>304</v>
      </c>
      <c r="G39" s="46" t="s">
        <v>305</v>
      </c>
      <c r="H39" s="46" t="s">
        <v>497</v>
      </c>
      <c r="I39" s="50" t="s">
        <v>35</v>
      </c>
    </row>
    <row r="40" customFormat="false" ht="15" hidden="false" customHeight="false" outlineLevel="0" collapsed="false">
      <c r="A40" s="46" t="n">
        <v>36</v>
      </c>
      <c r="B40" s="46" t="s">
        <v>13</v>
      </c>
      <c r="C40" s="46" t="s">
        <v>14</v>
      </c>
      <c r="D40" s="46" t="s">
        <v>307</v>
      </c>
      <c r="E40" s="46" t="s">
        <v>308</v>
      </c>
      <c r="F40" s="46" t="s">
        <v>310</v>
      </c>
      <c r="G40" s="46" t="s">
        <v>311</v>
      </c>
      <c r="H40" s="46" t="s">
        <v>498</v>
      </c>
      <c r="I40" s="50" t="s">
        <v>35</v>
      </c>
    </row>
    <row r="41" customFormat="false" ht="15" hidden="false" customHeight="false" outlineLevel="0" collapsed="false">
      <c r="A41" s="46" t="n">
        <v>37</v>
      </c>
      <c r="B41" s="46" t="s">
        <v>13</v>
      </c>
      <c r="C41" s="46" t="s">
        <v>14</v>
      </c>
      <c r="D41" s="46" t="s">
        <v>307</v>
      </c>
      <c r="E41" s="46" t="s">
        <v>308</v>
      </c>
      <c r="F41" s="46" t="s">
        <v>313</v>
      </c>
      <c r="G41" s="46" t="s">
        <v>314</v>
      </c>
      <c r="H41" s="46" t="s">
        <v>499</v>
      </c>
      <c r="I41" s="50" t="s">
        <v>35</v>
      </c>
    </row>
    <row r="42" customFormat="false" ht="15" hidden="false" customHeight="false" outlineLevel="0" collapsed="false">
      <c r="A42" s="46" t="n">
        <v>38</v>
      </c>
      <c r="B42" s="46" t="s">
        <v>13</v>
      </c>
      <c r="C42" s="46" t="s">
        <v>14</v>
      </c>
      <c r="D42" s="46" t="s">
        <v>316</v>
      </c>
      <c r="E42" s="46" t="s">
        <v>317</v>
      </c>
      <c r="F42" s="46" t="s">
        <v>319</v>
      </c>
      <c r="G42" s="46" t="s">
        <v>320</v>
      </c>
      <c r="H42" s="46" t="s">
        <v>500</v>
      </c>
      <c r="I42" s="50" t="s">
        <v>35</v>
      </c>
    </row>
    <row r="43" customFormat="false" ht="15" hidden="false" customHeight="false" outlineLevel="0" collapsed="false">
      <c r="A43" s="46" t="n">
        <v>39</v>
      </c>
      <c r="B43" s="46" t="s">
        <v>13</v>
      </c>
      <c r="C43" s="46" t="s">
        <v>14</v>
      </c>
      <c r="D43" s="46" t="s">
        <v>316</v>
      </c>
      <c r="E43" s="46" t="s">
        <v>317</v>
      </c>
      <c r="F43" s="46" t="s">
        <v>322</v>
      </c>
      <c r="G43" s="46" t="s">
        <v>323</v>
      </c>
      <c r="H43" s="46" t="s">
        <v>501</v>
      </c>
      <c r="I43" s="50" t="s">
        <v>35</v>
      </c>
    </row>
    <row r="44" customFormat="false" ht="15" hidden="false" customHeight="false" outlineLevel="0" collapsed="false">
      <c r="A44" s="46" t="n">
        <v>40</v>
      </c>
      <c r="B44" s="46" t="s">
        <v>13</v>
      </c>
      <c r="C44" s="46" t="s">
        <v>14</v>
      </c>
      <c r="D44" s="46" t="s">
        <v>316</v>
      </c>
      <c r="E44" s="46" t="s">
        <v>317</v>
      </c>
      <c r="F44" s="46" t="s">
        <v>325</v>
      </c>
      <c r="G44" s="46" t="s">
        <v>326</v>
      </c>
      <c r="H44" s="46" t="s">
        <v>502</v>
      </c>
      <c r="I44" s="50" t="s">
        <v>35</v>
      </c>
    </row>
    <row r="45" customFormat="false" ht="15" hidden="false" customHeight="false" outlineLevel="0" collapsed="false">
      <c r="A45" s="46" t="n">
        <v>41</v>
      </c>
      <c r="B45" s="46" t="s">
        <v>13</v>
      </c>
      <c r="C45" s="46" t="s">
        <v>14</v>
      </c>
      <c r="D45" s="46" t="s">
        <v>328</v>
      </c>
      <c r="E45" s="46" t="s">
        <v>329</v>
      </c>
      <c r="F45" s="46" t="s">
        <v>331</v>
      </c>
      <c r="G45" s="46" t="s">
        <v>332</v>
      </c>
      <c r="H45" s="46" t="s">
        <v>503</v>
      </c>
      <c r="I45" s="50" t="s">
        <v>35</v>
      </c>
    </row>
    <row r="46" customFormat="false" ht="23.85" hidden="false" customHeight="false" outlineLevel="0" collapsed="false">
      <c r="A46" s="46" t="n">
        <v>42</v>
      </c>
      <c r="B46" s="46" t="s">
        <v>13</v>
      </c>
      <c r="C46" s="46" t="s">
        <v>14</v>
      </c>
      <c r="D46" s="46" t="s">
        <v>328</v>
      </c>
      <c r="E46" s="46" t="s">
        <v>329</v>
      </c>
      <c r="F46" s="46" t="s">
        <v>334</v>
      </c>
      <c r="G46" s="46" t="s">
        <v>335</v>
      </c>
      <c r="H46" s="46" t="s">
        <v>504</v>
      </c>
      <c r="I46" s="50" t="s">
        <v>35</v>
      </c>
    </row>
    <row r="47" customFormat="false" ht="15" hidden="false" customHeight="false" outlineLevel="0" collapsed="false">
      <c r="A47" s="46" t="n">
        <v>43</v>
      </c>
      <c r="B47" s="46" t="s">
        <v>13</v>
      </c>
      <c r="C47" s="46" t="s">
        <v>14</v>
      </c>
      <c r="D47" s="46" t="s">
        <v>328</v>
      </c>
      <c r="E47" s="46" t="s">
        <v>329</v>
      </c>
      <c r="F47" s="46" t="s">
        <v>337</v>
      </c>
      <c r="G47" s="46" t="s">
        <v>338</v>
      </c>
      <c r="H47" s="46" t="s">
        <v>505</v>
      </c>
      <c r="I47" s="50" t="s">
        <v>35</v>
      </c>
    </row>
    <row r="48" customFormat="false" ht="15" hidden="false" customHeight="false" outlineLevel="0" collapsed="false">
      <c r="A48" s="46" t="n">
        <v>44</v>
      </c>
      <c r="B48" s="46" t="s">
        <v>13</v>
      </c>
      <c r="C48" s="46" t="s">
        <v>14</v>
      </c>
      <c r="D48" s="46" t="s">
        <v>340</v>
      </c>
      <c r="E48" s="46" t="s">
        <v>341</v>
      </c>
      <c r="F48" s="46" t="s">
        <v>343</v>
      </c>
      <c r="G48" s="46" t="s">
        <v>344</v>
      </c>
      <c r="H48" s="46" t="s">
        <v>506</v>
      </c>
      <c r="I48" s="50" t="s">
        <v>35</v>
      </c>
    </row>
    <row r="49" customFormat="false" ht="15" hidden="false" customHeight="false" outlineLevel="0" collapsed="false">
      <c r="A49" s="46" t="n">
        <v>45</v>
      </c>
      <c r="B49" s="46" t="s">
        <v>13</v>
      </c>
      <c r="C49" s="46" t="s">
        <v>14</v>
      </c>
      <c r="D49" s="46" t="s">
        <v>346</v>
      </c>
      <c r="E49" s="46" t="s">
        <v>347</v>
      </c>
      <c r="F49" s="46" t="s">
        <v>349</v>
      </c>
      <c r="G49" s="46" t="s">
        <v>350</v>
      </c>
      <c r="H49" s="46" t="s">
        <v>507</v>
      </c>
      <c r="I49" s="50" t="s">
        <v>35</v>
      </c>
    </row>
    <row r="50" customFormat="false" ht="15" hidden="false" customHeight="false" outlineLevel="0" collapsed="false">
      <c r="A50" s="46" t="n">
        <v>46</v>
      </c>
      <c r="B50" s="46" t="s">
        <v>13</v>
      </c>
      <c r="C50" s="46" t="s">
        <v>14</v>
      </c>
      <c r="D50" s="46" t="s">
        <v>346</v>
      </c>
      <c r="E50" s="46" t="s">
        <v>347</v>
      </c>
      <c r="F50" s="46" t="s">
        <v>352</v>
      </c>
      <c r="G50" s="46" t="s">
        <v>353</v>
      </c>
      <c r="H50" s="46" t="s">
        <v>508</v>
      </c>
      <c r="I50" s="50" t="s">
        <v>35</v>
      </c>
    </row>
    <row r="51" customFormat="false" ht="15" hidden="false" customHeight="false" outlineLevel="0" collapsed="false">
      <c r="A51" s="46" t="n">
        <v>47</v>
      </c>
      <c r="B51" s="46" t="s">
        <v>13</v>
      </c>
      <c r="C51" s="46" t="s">
        <v>14</v>
      </c>
      <c r="D51" s="46" t="s">
        <v>346</v>
      </c>
      <c r="E51" s="46" t="s">
        <v>347</v>
      </c>
      <c r="F51" s="46" t="s">
        <v>355</v>
      </c>
      <c r="G51" s="46" t="s">
        <v>356</v>
      </c>
      <c r="H51" s="46" t="s">
        <v>509</v>
      </c>
      <c r="I51" s="50" t="s">
        <v>35</v>
      </c>
    </row>
    <row r="52" customFormat="false" ht="15" hidden="false" customHeight="false" outlineLevel="0" collapsed="false">
      <c r="A52" s="46" t="n">
        <v>48</v>
      </c>
      <c r="B52" s="46" t="s">
        <v>13</v>
      </c>
      <c r="C52" s="46" t="s">
        <v>14</v>
      </c>
      <c r="D52" s="46" t="s">
        <v>346</v>
      </c>
      <c r="E52" s="46" t="s">
        <v>347</v>
      </c>
      <c r="F52" s="46" t="s">
        <v>358</v>
      </c>
      <c r="G52" s="46" t="s">
        <v>359</v>
      </c>
      <c r="H52" s="46" t="s">
        <v>510</v>
      </c>
      <c r="I52" s="50" t="s">
        <v>35</v>
      </c>
    </row>
    <row r="53" customFormat="false" ht="15" hidden="false" customHeight="false" outlineLevel="0" collapsed="false">
      <c r="A53" s="46" t="n">
        <v>49</v>
      </c>
      <c r="B53" s="46" t="s">
        <v>13</v>
      </c>
      <c r="C53" s="46" t="s">
        <v>14</v>
      </c>
      <c r="D53" s="46" t="s">
        <v>346</v>
      </c>
      <c r="E53" s="46" t="s">
        <v>347</v>
      </c>
      <c r="F53" s="46" t="s">
        <v>361</v>
      </c>
      <c r="G53" s="46" t="s">
        <v>362</v>
      </c>
      <c r="H53" s="46" t="s">
        <v>511</v>
      </c>
      <c r="I53" s="50" t="s">
        <v>35</v>
      </c>
    </row>
    <row r="54" customFormat="false" ht="15" hidden="false" customHeight="false" outlineLevel="0" collapsed="false">
      <c r="A54" s="46" t="n">
        <v>50</v>
      </c>
      <c r="B54" s="46" t="s">
        <v>13</v>
      </c>
      <c r="C54" s="46" t="s">
        <v>14</v>
      </c>
      <c r="D54" s="46" t="s">
        <v>346</v>
      </c>
      <c r="E54" s="46" t="s">
        <v>347</v>
      </c>
      <c r="F54" s="46" t="s">
        <v>364</v>
      </c>
      <c r="G54" s="46" t="s">
        <v>365</v>
      </c>
      <c r="H54" s="46" t="s">
        <v>512</v>
      </c>
      <c r="I54" s="50" t="s">
        <v>35</v>
      </c>
    </row>
    <row r="55" customFormat="false" ht="15" hidden="false" customHeight="false" outlineLevel="0" collapsed="false">
      <c r="A55" s="46" t="n">
        <v>51</v>
      </c>
      <c r="B55" s="46" t="s">
        <v>13</v>
      </c>
      <c r="C55" s="46" t="s">
        <v>14</v>
      </c>
      <c r="D55" s="46" t="s">
        <v>346</v>
      </c>
      <c r="E55" s="46" t="s">
        <v>347</v>
      </c>
      <c r="F55" s="46" t="s">
        <v>367</v>
      </c>
      <c r="G55" s="46" t="s">
        <v>368</v>
      </c>
      <c r="H55" s="46" t="s">
        <v>513</v>
      </c>
      <c r="I55" s="50" t="s">
        <v>35</v>
      </c>
    </row>
    <row r="56" customFormat="false" ht="15" hidden="false" customHeight="false" outlineLevel="0" collapsed="false">
      <c r="A56" s="46" t="n">
        <v>52</v>
      </c>
      <c r="B56" s="46" t="s">
        <v>13</v>
      </c>
      <c r="C56" s="46" t="s">
        <v>14</v>
      </c>
      <c r="D56" s="46" t="s">
        <v>346</v>
      </c>
      <c r="E56" s="46" t="s">
        <v>347</v>
      </c>
      <c r="F56" s="46" t="s">
        <v>367</v>
      </c>
      <c r="G56" s="46" t="s">
        <v>368</v>
      </c>
      <c r="H56" s="46" t="s">
        <v>514</v>
      </c>
      <c r="I56" s="50" t="s">
        <v>35</v>
      </c>
    </row>
    <row r="57" customFormat="false" ht="15" hidden="false" customHeight="false" outlineLevel="0" collapsed="false">
      <c r="A57" s="46" t="n">
        <v>53</v>
      </c>
      <c r="B57" s="46" t="s">
        <v>13</v>
      </c>
      <c r="C57" s="46" t="s">
        <v>14</v>
      </c>
      <c r="D57" s="46" t="s">
        <v>346</v>
      </c>
      <c r="E57" s="46" t="s">
        <v>347</v>
      </c>
      <c r="F57" s="46" t="s">
        <v>367</v>
      </c>
      <c r="G57" s="46" t="s">
        <v>368</v>
      </c>
      <c r="H57" s="46" t="s">
        <v>515</v>
      </c>
      <c r="I57" s="50" t="s">
        <v>35</v>
      </c>
    </row>
    <row r="58" customFormat="false" ht="15" hidden="false" customHeight="false" outlineLevel="0" collapsed="false">
      <c r="A58" s="46" t="n">
        <v>54</v>
      </c>
      <c r="B58" s="46" t="s">
        <v>13</v>
      </c>
      <c r="C58" s="46" t="s">
        <v>14</v>
      </c>
      <c r="D58" s="46" t="s">
        <v>346</v>
      </c>
      <c r="E58" s="46" t="s">
        <v>347</v>
      </c>
      <c r="F58" s="46" t="s">
        <v>370</v>
      </c>
      <c r="G58" s="46" t="s">
        <v>371</v>
      </c>
      <c r="H58" s="46" t="s">
        <v>516</v>
      </c>
      <c r="I58" s="50" t="s">
        <v>35</v>
      </c>
    </row>
    <row r="59" customFormat="false" ht="15" hidden="false" customHeight="false" outlineLevel="0" collapsed="false">
      <c r="A59" s="46" t="n">
        <v>55</v>
      </c>
      <c r="B59" s="46" t="s">
        <v>13</v>
      </c>
      <c r="C59" s="46" t="s">
        <v>14</v>
      </c>
      <c r="D59" s="46" t="s">
        <v>346</v>
      </c>
      <c r="E59" s="46" t="s">
        <v>347</v>
      </c>
      <c r="F59" s="46" t="s">
        <v>373</v>
      </c>
      <c r="G59" s="46" t="s">
        <v>374</v>
      </c>
      <c r="H59" s="46" t="s">
        <v>517</v>
      </c>
      <c r="I59" s="50" t="s">
        <v>35</v>
      </c>
    </row>
    <row r="60" customFormat="false" ht="15" hidden="false" customHeight="false" outlineLevel="0" collapsed="false">
      <c r="A60" s="46" t="n">
        <v>56</v>
      </c>
      <c r="B60" s="46" t="s">
        <v>13</v>
      </c>
      <c r="C60" s="46" t="s">
        <v>14</v>
      </c>
      <c r="D60" s="46" t="s">
        <v>376</v>
      </c>
      <c r="E60" s="46" t="s">
        <v>377</v>
      </c>
      <c r="F60" s="46" t="s">
        <v>379</v>
      </c>
      <c r="G60" s="46" t="s">
        <v>380</v>
      </c>
      <c r="H60" s="46" t="s">
        <v>518</v>
      </c>
      <c r="I60" s="50" t="s">
        <v>35</v>
      </c>
    </row>
    <row r="61" customFormat="false" ht="15" hidden="false" customHeight="false" outlineLevel="0" collapsed="false">
      <c r="A61" s="46" t="n">
        <v>57</v>
      </c>
      <c r="B61" s="46" t="s">
        <v>13</v>
      </c>
      <c r="C61" s="46" t="s">
        <v>14</v>
      </c>
      <c r="D61" s="46" t="s">
        <v>376</v>
      </c>
      <c r="E61" s="46" t="s">
        <v>377</v>
      </c>
      <c r="F61" s="46" t="s">
        <v>379</v>
      </c>
      <c r="G61" s="46" t="s">
        <v>380</v>
      </c>
      <c r="H61" s="46" t="s">
        <v>519</v>
      </c>
      <c r="I61" s="50" t="s">
        <v>35</v>
      </c>
    </row>
    <row r="62" customFormat="false" ht="15" hidden="false" customHeight="false" outlineLevel="0" collapsed="false">
      <c r="A62" s="46" t="n">
        <v>58</v>
      </c>
      <c r="B62" s="46" t="s">
        <v>13</v>
      </c>
      <c r="C62" s="46" t="s">
        <v>14</v>
      </c>
      <c r="D62" s="46" t="s">
        <v>376</v>
      </c>
      <c r="E62" s="46" t="s">
        <v>377</v>
      </c>
      <c r="F62" s="46" t="s">
        <v>382</v>
      </c>
      <c r="G62" s="46" t="s">
        <v>383</v>
      </c>
      <c r="H62" s="46" t="s">
        <v>520</v>
      </c>
      <c r="I62" s="50" t="s">
        <v>35</v>
      </c>
    </row>
    <row r="63" customFormat="false" ht="15" hidden="false" customHeight="false" outlineLevel="0" collapsed="false">
      <c r="A63" s="46" t="n">
        <v>59</v>
      </c>
      <c r="B63" s="46" t="s">
        <v>13</v>
      </c>
      <c r="C63" s="46" t="s">
        <v>14</v>
      </c>
      <c r="D63" s="46" t="s">
        <v>376</v>
      </c>
      <c r="E63" s="46" t="s">
        <v>377</v>
      </c>
      <c r="F63" s="46" t="s">
        <v>382</v>
      </c>
      <c r="G63" s="46" t="s">
        <v>383</v>
      </c>
      <c r="H63" s="46" t="s">
        <v>521</v>
      </c>
      <c r="I63" s="50" t="s">
        <v>35</v>
      </c>
    </row>
    <row r="64" customFormat="false" ht="15" hidden="false" customHeight="false" outlineLevel="0" collapsed="false">
      <c r="A64" s="46" t="n">
        <v>60</v>
      </c>
      <c r="B64" s="46" t="s">
        <v>13</v>
      </c>
      <c r="C64" s="46" t="s">
        <v>14</v>
      </c>
      <c r="D64" s="46" t="s">
        <v>376</v>
      </c>
      <c r="E64" s="46" t="s">
        <v>377</v>
      </c>
      <c r="F64" s="46" t="s">
        <v>385</v>
      </c>
      <c r="G64" s="46" t="s">
        <v>386</v>
      </c>
      <c r="H64" s="46" t="s">
        <v>522</v>
      </c>
      <c r="I64" s="50" t="s">
        <v>35</v>
      </c>
    </row>
    <row r="65" customFormat="false" ht="15" hidden="false" customHeight="false" outlineLevel="0" collapsed="false">
      <c r="A65" s="46" t="n">
        <v>61</v>
      </c>
      <c r="B65" s="46" t="s">
        <v>13</v>
      </c>
      <c r="C65" s="46" t="s">
        <v>14</v>
      </c>
      <c r="D65" s="46" t="s">
        <v>376</v>
      </c>
      <c r="E65" s="46" t="s">
        <v>377</v>
      </c>
      <c r="F65" s="46" t="s">
        <v>388</v>
      </c>
      <c r="G65" s="46" t="s">
        <v>389</v>
      </c>
      <c r="H65" s="46" t="s">
        <v>523</v>
      </c>
      <c r="I65" s="50" t="s">
        <v>35</v>
      </c>
    </row>
    <row r="66" customFormat="false" ht="15" hidden="false" customHeight="false" outlineLevel="0" collapsed="false">
      <c r="A66" s="46" t="n">
        <v>62</v>
      </c>
      <c r="B66" s="46" t="s">
        <v>13</v>
      </c>
      <c r="C66" s="46" t="s">
        <v>14</v>
      </c>
      <c r="D66" s="46" t="s">
        <v>376</v>
      </c>
      <c r="E66" s="46" t="s">
        <v>377</v>
      </c>
      <c r="F66" s="46" t="s">
        <v>388</v>
      </c>
      <c r="G66" s="46" t="s">
        <v>389</v>
      </c>
      <c r="H66" s="46" t="s">
        <v>524</v>
      </c>
      <c r="I66" s="50" t="s">
        <v>35</v>
      </c>
    </row>
    <row r="67" customFormat="false" ht="15" hidden="false" customHeight="false" outlineLevel="0" collapsed="false">
      <c r="A67" s="46" t="n">
        <v>63</v>
      </c>
      <c r="B67" s="46" t="s">
        <v>13</v>
      </c>
      <c r="C67" s="46" t="s">
        <v>14</v>
      </c>
      <c r="D67" s="46" t="s">
        <v>376</v>
      </c>
      <c r="E67" s="46" t="s">
        <v>377</v>
      </c>
      <c r="F67" s="46" t="s">
        <v>388</v>
      </c>
      <c r="G67" s="46" t="s">
        <v>389</v>
      </c>
      <c r="H67" s="46" t="s">
        <v>525</v>
      </c>
      <c r="I67" s="50" t="s">
        <v>35</v>
      </c>
    </row>
    <row r="68" customFormat="false" ht="15" hidden="false" customHeight="false" outlineLevel="0" collapsed="false">
      <c r="A68" s="46" t="n">
        <v>64</v>
      </c>
      <c r="B68" s="46" t="s">
        <v>13</v>
      </c>
      <c r="C68" s="46" t="s">
        <v>14</v>
      </c>
      <c r="D68" s="46" t="s">
        <v>376</v>
      </c>
      <c r="E68" s="46" t="s">
        <v>377</v>
      </c>
      <c r="F68" s="46" t="s">
        <v>391</v>
      </c>
      <c r="G68" s="46" t="s">
        <v>392</v>
      </c>
      <c r="H68" s="46" t="s">
        <v>526</v>
      </c>
      <c r="I68" s="50" t="s">
        <v>35</v>
      </c>
    </row>
    <row r="69" customFormat="false" ht="15" hidden="false" customHeight="false" outlineLevel="0" collapsed="false">
      <c r="A69" s="46" t="n">
        <v>65</v>
      </c>
      <c r="B69" s="46" t="s">
        <v>13</v>
      </c>
      <c r="C69" s="46" t="s">
        <v>14</v>
      </c>
      <c r="D69" s="46" t="s">
        <v>376</v>
      </c>
      <c r="E69" s="46" t="s">
        <v>377</v>
      </c>
      <c r="F69" s="46" t="s">
        <v>391</v>
      </c>
      <c r="G69" s="46" t="s">
        <v>392</v>
      </c>
      <c r="H69" s="46" t="s">
        <v>527</v>
      </c>
      <c r="I69" s="50" t="s">
        <v>35</v>
      </c>
    </row>
    <row r="70" customFormat="false" ht="15" hidden="false" customHeight="false" outlineLevel="0" collapsed="false">
      <c r="A70" s="46" t="n">
        <v>66</v>
      </c>
      <c r="B70" s="46" t="s">
        <v>13</v>
      </c>
      <c r="C70" s="46" t="s">
        <v>14</v>
      </c>
      <c r="D70" s="46" t="s">
        <v>376</v>
      </c>
      <c r="E70" s="46" t="s">
        <v>377</v>
      </c>
      <c r="F70" s="46" t="s">
        <v>391</v>
      </c>
      <c r="G70" s="46" t="s">
        <v>392</v>
      </c>
      <c r="H70" s="46" t="s">
        <v>528</v>
      </c>
      <c r="I70" s="50" t="s">
        <v>35</v>
      </c>
    </row>
    <row r="71" customFormat="false" ht="15" hidden="false" customHeight="false" outlineLevel="0" collapsed="false">
      <c r="A71" s="46" t="n">
        <v>67</v>
      </c>
      <c r="B71" s="46" t="s">
        <v>15</v>
      </c>
      <c r="C71" s="46" t="s">
        <v>16</v>
      </c>
      <c r="D71" s="46" t="s">
        <v>395</v>
      </c>
      <c r="E71" s="46" t="s">
        <v>396</v>
      </c>
      <c r="F71" s="46" t="s">
        <v>398</v>
      </c>
      <c r="G71" s="46" t="s">
        <v>399</v>
      </c>
      <c r="H71" s="46" t="s">
        <v>529</v>
      </c>
      <c r="I71" s="50" t="s">
        <v>35</v>
      </c>
    </row>
    <row r="72" customFormat="false" ht="15" hidden="false" customHeight="false" outlineLevel="0" collapsed="false">
      <c r="A72" s="46" t="n">
        <v>68</v>
      </c>
      <c r="B72" s="46" t="s">
        <v>15</v>
      </c>
      <c r="C72" s="46" t="s">
        <v>16</v>
      </c>
      <c r="D72" s="46" t="s">
        <v>395</v>
      </c>
      <c r="E72" s="46" t="s">
        <v>396</v>
      </c>
      <c r="F72" s="46" t="s">
        <v>401</v>
      </c>
      <c r="G72" s="46" t="s">
        <v>402</v>
      </c>
      <c r="H72" s="46" t="s">
        <v>530</v>
      </c>
      <c r="I72" s="50" t="s">
        <v>35</v>
      </c>
    </row>
    <row r="73" customFormat="false" ht="15" hidden="false" customHeight="false" outlineLevel="0" collapsed="false">
      <c r="A73" s="46" t="n">
        <v>69</v>
      </c>
      <c r="B73" s="46" t="s">
        <v>15</v>
      </c>
      <c r="C73" s="46" t="s">
        <v>16</v>
      </c>
      <c r="D73" s="46" t="s">
        <v>395</v>
      </c>
      <c r="E73" s="46" t="s">
        <v>396</v>
      </c>
      <c r="F73" s="46" t="s">
        <v>404</v>
      </c>
      <c r="G73" s="46" t="s">
        <v>405</v>
      </c>
      <c r="H73" s="46" t="s">
        <v>531</v>
      </c>
      <c r="I73" s="50" t="s">
        <v>35</v>
      </c>
    </row>
    <row r="74" customFormat="false" ht="15" hidden="false" customHeight="false" outlineLevel="0" collapsed="false">
      <c r="A74" s="46" t="n">
        <v>70</v>
      </c>
      <c r="B74" s="46" t="s">
        <v>15</v>
      </c>
      <c r="C74" s="46" t="s">
        <v>16</v>
      </c>
      <c r="D74" s="46" t="s">
        <v>395</v>
      </c>
      <c r="E74" s="46" t="s">
        <v>396</v>
      </c>
      <c r="F74" s="46" t="s">
        <v>407</v>
      </c>
      <c r="G74" s="46" t="s">
        <v>408</v>
      </c>
      <c r="H74" s="46" t="s">
        <v>532</v>
      </c>
      <c r="I74" s="50" t="s">
        <v>35</v>
      </c>
    </row>
    <row r="75" customFormat="false" ht="15" hidden="false" customHeight="false" outlineLevel="0" collapsed="false">
      <c r="A75" s="46" t="n">
        <v>71</v>
      </c>
      <c r="B75" s="46" t="s">
        <v>15</v>
      </c>
      <c r="C75" s="46" t="s">
        <v>16</v>
      </c>
      <c r="D75" s="46" t="s">
        <v>395</v>
      </c>
      <c r="E75" s="46" t="s">
        <v>396</v>
      </c>
      <c r="F75" s="46" t="s">
        <v>410</v>
      </c>
      <c r="G75" s="46" t="s">
        <v>411</v>
      </c>
      <c r="H75" s="46" t="s">
        <v>533</v>
      </c>
      <c r="I75" s="50" t="s">
        <v>35</v>
      </c>
    </row>
    <row r="76" customFormat="false" ht="15" hidden="false" customHeight="false" outlineLevel="0" collapsed="false">
      <c r="A76" s="46" t="n">
        <v>72</v>
      </c>
      <c r="B76" s="46" t="s">
        <v>15</v>
      </c>
      <c r="C76" s="46" t="s">
        <v>16</v>
      </c>
      <c r="D76" s="46" t="s">
        <v>413</v>
      </c>
      <c r="E76" s="46" t="s">
        <v>414</v>
      </c>
      <c r="F76" s="46" t="s">
        <v>416</v>
      </c>
      <c r="G76" s="46" t="s">
        <v>417</v>
      </c>
      <c r="H76" s="46" t="s">
        <v>534</v>
      </c>
      <c r="I76" s="50" t="s">
        <v>35</v>
      </c>
    </row>
    <row r="77" customFormat="false" ht="15" hidden="false" customHeight="false" outlineLevel="0" collapsed="false">
      <c r="A77" s="46" t="n">
        <v>73</v>
      </c>
      <c r="B77" s="46" t="s">
        <v>17</v>
      </c>
      <c r="C77" s="46" t="s">
        <v>18</v>
      </c>
      <c r="D77" s="46" t="s">
        <v>420</v>
      </c>
      <c r="E77" s="46" t="s">
        <v>421</v>
      </c>
      <c r="F77" s="46" t="s">
        <v>423</v>
      </c>
      <c r="G77" s="46" t="s">
        <v>424</v>
      </c>
      <c r="H77" s="46" t="s">
        <v>535</v>
      </c>
      <c r="I77" s="50" t="s">
        <v>35</v>
      </c>
    </row>
    <row r="78" customFormat="false" ht="15" hidden="false" customHeight="false" outlineLevel="0" collapsed="false">
      <c r="A78" s="46" t="n">
        <v>74</v>
      </c>
      <c r="B78" s="46" t="s">
        <v>17</v>
      </c>
      <c r="C78" s="46" t="s">
        <v>18</v>
      </c>
      <c r="D78" s="46" t="s">
        <v>420</v>
      </c>
      <c r="E78" s="46" t="s">
        <v>421</v>
      </c>
      <c r="F78" s="46" t="s">
        <v>426</v>
      </c>
      <c r="G78" s="46" t="s">
        <v>427</v>
      </c>
      <c r="H78" s="46" t="s">
        <v>536</v>
      </c>
      <c r="I78" s="50" t="s">
        <v>35</v>
      </c>
    </row>
    <row r="79" customFormat="false" ht="15" hidden="false" customHeight="false" outlineLevel="0" collapsed="false">
      <c r="A79" s="46" t="n">
        <v>75</v>
      </c>
      <c r="B79" s="46" t="s">
        <v>17</v>
      </c>
      <c r="C79" s="46" t="s">
        <v>18</v>
      </c>
      <c r="D79" s="46" t="s">
        <v>420</v>
      </c>
      <c r="E79" s="46" t="s">
        <v>421</v>
      </c>
      <c r="F79" s="46" t="s">
        <v>429</v>
      </c>
      <c r="G79" s="46" t="s">
        <v>430</v>
      </c>
      <c r="H79" s="46" t="s">
        <v>537</v>
      </c>
      <c r="I79" s="50" t="s">
        <v>35</v>
      </c>
    </row>
    <row r="80" customFormat="false" ht="15" hidden="false" customHeight="false" outlineLevel="0" collapsed="false">
      <c r="A80" s="46" t="n">
        <v>76</v>
      </c>
      <c r="B80" s="46" t="s">
        <v>17</v>
      </c>
      <c r="C80" s="46" t="s">
        <v>18</v>
      </c>
      <c r="D80" s="46" t="s">
        <v>420</v>
      </c>
      <c r="E80" s="46" t="s">
        <v>421</v>
      </c>
      <c r="F80" s="46" t="s">
        <v>432</v>
      </c>
      <c r="G80" s="46" t="s">
        <v>433</v>
      </c>
      <c r="H80" s="46" t="s">
        <v>538</v>
      </c>
      <c r="I80" s="50" t="s">
        <v>35</v>
      </c>
    </row>
    <row r="81" customFormat="false" ht="15" hidden="false" customHeight="false" outlineLevel="0" collapsed="false">
      <c r="A81" s="46" t="n">
        <v>77</v>
      </c>
      <c r="B81" s="46" t="s">
        <v>17</v>
      </c>
      <c r="C81" s="46" t="s">
        <v>18</v>
      </c>
      <c r="D81" s="46" t="s">
        <v>420</v>
      </c>
      <c r="E81" s="46" t="s">
        <v>421</v>
      </c>
      <c r="F81" s="46" t="s">
        <v>435</v>
      </c>
      <c r="G81" s="46" t="s">
        <v>436</v>
      </c>
      <c r="H81" s="46" t="s">
        <v>539</v>
      </c>
      <c r="I81" s="50" t="s">
        <v>35</v>
      </c>
    </row>
    <row r="82" customFormat="false" ht="15" hidden="false" customHeight="false" outlineLevel="0" collapsed="false">
      <c r="A82" s="46" t="n">
        <v>78</v>
      </c>
      <c r="B82" s="46" t="s">
        <v>17</v>
      </c>
      <c r="C82" s="46" t="s">
        <v>18</v>
      </c>
      <c r="D82" s="46" t="s">
        <v>420</v>
      </c>
      <c r="E82" s="46" t="s">
        <v>421</v>
      </c>
      <c r="F82" s="46" t="s">
        <v>438</v>
      </c>
      <c r="G82" s="46" t="s">
        <v>439</v>
      </c>
      <c r="H82" s="46" t="s">
        <v>540</v>
      </c>
      <c r="I82" s="50" t="s">
        <v>35</v>
      </c>
    </row>
    <row r="83" customFormat="false" ht="15" hidden="false" customHeight="false" outlineLevel="0" collapsed="false">
      <c r="A83" s="46" t="n">
        <v>79</v>
      </c>
      <c r="B83" s="46" t="s">
        <v>17</v>
      </c>
      <c r="C83" s="46" t="s">
        <v>18</v>
      </c>
      <c r="D83" s="46" t="s">
        <v>441</v>
      </c>
      <c r="E83" s="46" t="s">
        <v>442</v>
      </c>
      <c r="F83" s="46" t="s">
        <v>444</v>
      </c>
      <c r="G83" s="46" t="s">
        <v>445</v>
      </c>
      <c r="H83" s="46" t="s">
        <v>541</v>
      </c>
      <c r="I83" s="50" t="s">
        <v>35</v>
      </c>
    </row>
    <row r="84" customFormat="false" ht="15" hidden="false" customHeight="false" outlineLevel="0" collapsed="false">
      <c r="A84" s="46" t="n">
        <v>80</v>
      </c>
      <c r="B84" s="46" t="s">
        <v>17</v>
      </c>
      <c r="C84" s="46" t="s">
        <v>18</v>
      </c>
      <c r="D84" s="46" t="s">
        <v>441</v>
      </c>
      <c r="E84" s="46" t="s">
        <v>442</v>
      </c>
      <c r="F84" s="46" t="s">
        <v>447</v>
      </c>
      <c r="G84" s="46" t="s">
        <v>448</v>
      </c>
      <c r="H84" s="46" t="s">
        <v>542</v>
      </c>
      <c r="I84" s="50" t="s">
        <v>35</v>
      </c>
    </row>
    <row r="85" customFormat="false" ht="15" hidden="false" customHeight="false" outlineLevel="0" collapsed="false">
      <c r="A85" s="46" t="n">
        <v>81</v>
      </c>
      <c r="B85" s="46" t="s">
        <v>17</v>
      </c>
      <c r="C85" s="46" t="s">
        <v>18</v>
      </c>
      <c r="D85" s="46" t="s">
        <v>441</v>
      </c>
      <c r="E85" s="46" t="s">
        <v>442</v>
      </c>
      <c r="F85" s="46" t="s">
        <v>450</v>
      </c>
      <c r="G85" s="46" t="s">
        <v>451</v>
      </c>
      <c r="H85" s="46" t="s">
        <v>543</v>
      </c>
      <c r="I85" s="50" t="s">
        <v>35</v>
      </c>
    </row>
    <row r="86" customFormat="false" ht="15" hidden="false" customHeight="false" outlineLevel="0" collapsed="false">
      <c r="A86" s="46" t="n">
        <v>82</v>
      </c>
      <c r="B86" s="46" t="s">
        <v>17</v>
      </c>
      <c r="C86" s="46" t="s">
        <v>18</v>
      </c>
      <c r="D86" s="46" t="s">
        <v>441</v>
      </c>
      <c r="E86" s="46" t="s">
        <v>442</v>
      </c>
      <c r="F86" s="46" t="s">
        <v>453</v>
      </c>
      <c r="G86" s="46" t="s">
        <v>454</v>
      </c>
      <c r="H86" s="46" t="s">
        <v>544</v>
      </c>
      <c r="I86" s="50" t="s">
        <v>35</v>
      </c>
    </row>
    <row r="87" customFormat="false" ht="15" hidden="false" customHeight="false" outlineLevel="0" collapsed="false">
      <c r="A87" s="46" t="n">
        <v>83</v>
      </c>
      <c r="B87" s="46" t="s">
        <v>17</v>
      </c>
      <c r="C87" s="46" t="s">
        <v>18</v>
      </c>
      <c r="D87" s="46" t="s">
        <v>441</v>
      </c>
      <c r="E87" s="46" t="s">
        <v>442</v>
      </c>
      <c r="F87" s="46" t="s">
        <v>456</v>
      </c>
      <c r="G87" s="46" t="s">
        <v>457</v>
      </c>
      <c r="H87" s="46" t="s">
        <v>545</v>
      </c>
      <c r="I87" s="50" t="s">
        <v>35</v>
      </c>
    </row>
  </sheetData>
  <autoFilter ref="A4:I87"/>
  <mergeCells count="2">
    <mergeCell ref="A1:I1"/>
    <mergeCell ref="A2:I2"/>
  </mergeCells>
  <hyperlinks>
    <hyperlink ref="I5" r:id="rId1" display="Open"/>
    <hyperlink ref="I6" r:id="rId2" display="Open"/>
    <hyperlink ref="I7" r:id="rId3" display="Open"/>
    <hyperlink ref="I8" r:id="rId4" display="Open"/>
    <hyperlink ref="I9" r:id="rId5" display="Open"/>
    <hyperlink ref="I10" r:id="rId6" display="Open"/>
    <hyperlink ref="I11" r:id="rId7" display="Open"/>
    <hyperlink ref="I12" r:id="rId8" display="Open"/>
    <hyperlink ref="I13" r:id="rId9" display="Open"/>
    <hyperlink ref="I14" r:id="rId10" display="Open"/>
    <hyperlink ref="I15" r:id="rId11" display="Open"/>
    <hyperlink ref="I16" r:id="rId12" display="Open"/>
    <hyperlink ref="I17" r:id="rId13" display="Open"/>
    <hyperlink ref="I18" r:id="rId14" display="Open"/>
    <hyperlink ref="I19" r:id="rId15" display="Open"/>
    <hyperlink ref="I20" r:id="rId16" display="Open"/>
    <hyperlink ref="I21" r:id="rId17" display="Open"/>
    <hyperlink ref="I22" r:id="rId18" display="Open"/>
    <hyperlink ref="I23" r:id="rId19" display="Open"/>
    <hyperlink ref="I24" r:id="rId20" display="Open"/>
    <hyperlink ref="I25" r:id="rId21" display="Open"/>
    <hyperlink ref="I26" r:id="rId22" display="Open"/>
    <hyperlink ref="I27" r:id="rId23" display="Open"/>
    <hyperlink ref="I28" r:id="rId24" display="Open"/>
    <hyperlink ref="I29" r:id="rId25" display="Open"/>
    <hyperlink ref="I30" r:id="rId26" display="Open"/>
    <hyperlink ref="I31" r:id="rId27" display="Open"/>
    <hyperlink ref="I32" r:id="rId28" display="Open"/>
    <hyperlink ref="I33" r:id="rId29" display="Open"/>
    <hyperlink ref="I34" r:id="rId30" display="Open"/>
    <hyperlink ref="I35" r:id="rId31" display="Open"/>
    <hyperlink ref="I36" r:id="rId32" display="Open"/>
    <hyperlink ref="I37" r:id="rId33" display="Open"/>
    <hyperlink ref="I38" r:id="rId34" display="Open"/>
    <hyperlink ref="I39" r:id="rId35" display="Open"/>
    <hyperlink ref="I40" r:id="rId36" display="Open"/>
    <hyperlink ref="I41" r:id="rId37" display="Open"/>
    <hyperlink ref="I42" r:id="rId38" display="Open"/>
    <hyperlink ref="I43" r:id="rId39" display="Open"/>
    <hyperlink ref="I44" r:id="rId40" display="Open"/>
    <hyperlink ref="I45" r:id="rId41" display="Open"/>
    <hyperlink ref="I46" r:id="rId42" display="Open"/>
    <hyperlink ref="I47" r:id="rId43" display="Open"/>
    <hyperlink ref="I48" r:id="rId44" display="Open"/>
    <hyperlink ref="I49" r:id="rId45" display="Open"/>
    <hyperlink ref="I50" r:id="rId46" display="Open"/>
    <hyperlink ref="I51" r:id="rId47" display="Open"/>
    <hyperlink ref="I52" r:id="rId48" display="Open"/>
    <hyperlink ref="I53" r:id="rId49" display="Open"/>
    <hyperlink ref="I54" r:id="rId50" display="Open"/>
    <hyperlink ref="I55" r:id="rId51" display="Open"/>
    <hyperlink ref="I56" r:id="rId52" display="Open"/>
    <hyperlink ref="I57" r:id="rId53" display="Open"/>
    <hyperlink ref="I58" r:id="rId54" display="Open"/>
    <hyperlink ref="I59" r:id="rId55" display="Open"/>
    <hyperlink ref="I60" r:id="rId56" display="Open"/>
    <hyperlink ref="I61" r:id="rId57" display="Open"/>
    <hyperlink ref="I62" r:id="rId58" display="Open"/>
    <hyperlink ref="I63" r:id="rId59" display="Open"/>
    <hyperlink ref="I64" r:id="rId60" display="Open"/>
    <hyperlink ref="I65" r:id="rId61" display="Open"/>
    <hyperlink ref="I66" r:id="rId62" display="Open"/>
    <hyperlink ref="I67" r:id="rId63" display="Open"/>
    <hyperlink ref="I68" r:id="rId64" display="Open"/>
    <hyperlink ref="I69" r:id="rId65" display="Open"/>
    <hyperlink ref="I70" r:id="rId66" display="Open"/>
    <hyperlink ref="I71" r:id="rId67" display="Open"/>
    <hyperlink ref="I72" r:id="rId68" display="Open"/>
    <hyperlink ref="I73" r:id="rId69" display="Open"/>
    <hyperlink ref="I74" r:id="rId70" display="Open"/>
    <hyperlink ref="I75" r:id="rId71" display="Open"/>
    <hyperlink ref="I76" r:id="rId72" display="Open"/>
    <hyperlink ref="I77" r:id="rId73" display="Open"/>
    <hyperlink ref="I78" r:id="rId74" display="Open"/>
    <hyperlink ref="I79" r:id="rId75" display="Open"/>
    <hyperlink ref="I80" r:id="rId76" display="Open"/>
    <hyperlink ref="I81" r:id="rId77" display="Open"/>
    <hyperlink ref="I82" r:id="rId78" display="Open"/>
    <hyperlink ref="I83" r:id="rId79" display="Open"/>
    <hyperlink ref="I84" r:id="rId80" display="Open"/>
    <hyperlink ref="I85" r:id="rId81" display="Open"/>
    <hyperlink ref="I86" r:id="rId82" display="Open"/>
    <hyperlink ref="I87" r:id="rId83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2026-10-11T20:00:12Z</dcterms:created>
  <dc:creator>openpyxl</dc:creator>
  <dc:description/>
  <dc:language>en-US</dc:language>
  <cp:lastModifiedBy/>
  <dcterms:modified xsi:type="dcterms:W3CDTF">2026-10-11T20:00:12Z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