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 Timeline" sheetId="1" state="visible" r:id="rId3"/>
    <sheet name="Dev Task List" sheetId="2" state="visible" r:id="rId4"/>
    <sheet name="Screen List" sheetId="3" state="visible" r:id="rId5"/>
    <sheet name="Setup" sheetId="4" state="visible" r:id="rId6"/>
  </sheets>
  <definedNames>
    <definedName function="false" hidden="true" localSheetId="1" name="_xlnm._FilterDatabase" vbProcedure="false">'Dev Task List'!$A$4:$Q$92</definedName>
    <definedName function="false" hidden="true" localSheetId="2" name="_xlnm._FilterDatabase" vbProcedure="false">'Screen List'!$A$4:$F$93</definedName>
    <definedName function="false" hidden="false" name="Holidays" vbProcedure="false">Setup!$A$19:$A$48</definedName>
    <definedName function="false" hidden="false" name="ProjectStart" vbProcedure="false">Setup!$B$4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Assumption: Monday after the module list was finalised (Oct 11, 2026). Change to the real kickoff date.</t>
        </r>
      </text>
    </comment>
  </commentList>
</comments>
</file>

<file path=xl/sharedStrings.xml><?xml version="1.0" encoding="utf-8"?>
<sst xmlns="http://schemas.openxmlformats.org/spreadsheetml/2006/main" count="1324" uniqueCount="472">
  <si>
    <t xml:space="preserve">Module Timeline</t>
  </si>
  <si>
    <t xml:space="preserve">Start and end per module, rolled up from the Dev Task List. Gantt bars are by week (week starting Monday).</t>
  </si>
  <si>
    <t xml:space="preserve">Module ID</t>
  </si>
  <si>
    <t xml:space="preserve">Module</t>
  </si>
  <si>
    <t xml:space="preserve">Track</t>
  </si>
  <si>
    <t xml:space="preserve">Starts after</t>
  </si>
  <si>
    <t xml:space="preserve">Planned start</t>
  </si>
  <si>
    <t xml:space="preserve">Planned end</t>
  </si>
  <si>
    <t xml:space="preserve">Working days</t>
  </si>
  <si>
    <t xml:space="preserve">Features</t>
  </si>
  <si>
    <t xml:space="preserve">Screens</t>
  </si>
  <si>
    <t xml:space="preserve">Done</t>
  </si>
  <si>
    <t xml:space="preserve">% done</t>
  </si>
  <si>
    <t xml:space="preserve">M00</t>
  </si>
  <si>
    <t xml:space="preserve">Global / Shell</t>
  </si>
  <si>
    <t xml:space="preserve">Track A</t>
  </si>
  <si>
    <t xml:space="preserve">Project start</t>
  </si>
  <si>
    <t xml:space="preserve">M02</t>
  </si>
  <si>
    <t xml:space="preserve">Appointments</t>
  </si>
  <si>
    <t xml:space="preserve">M00 Global / Shell</t>
  </si>
  <si>
    <t xml:space="preserve">M03</t>
  </si>
  <si>
    <t xml:space="preserve">Patients</t>
  </si>
  <si>
    <t xml:space="preserve">Track B</t>
  </si>
  <si>
    <t xml:space="preserve">M05</t>
  </si>
  <si>
    <t xml:space="preserve">Account</t>
  </si>
  <si>
    <t xml:space="preserve">Track C</t>
  </si>
  <si>
    <t xml:space="preserve">M01</t>
  </si>
  <si>
    <t xml:space="preserve">Dashboard</t>
  </si>
  <si>
    <t xml:space="preserve">M02 Appointments</t>
  </si>
  <si>
    <t xml:space="preserve">M04</t>
  </si>
  <si>
    <t xml:space="preserve">Reports</t>
  </si>
  <si>
    <t xml:space="preserve">M05 Account</t>
  </si>
  <si>
    <t xml:space="preserve">Whole project</t>
  </si>
  <si>
    <t xml:space="preserve">Planned start of a module can be overridden by typing a date over it; its tasks and later modules shift automatically.</t>
  </si>
  <si>
    <t xml:space="preserve">Oralux Dentist Portal — Dev Task List</t>
  </si>
  <si>
    <t xml:space="preserve">One row per feature. Screens and Figma links come from https://www.figma.com/design/dAKa9xPhXAuRKat5jGS8Hx/Dentist. Dates come from Setup and Module Timeline.</t>
  </si>
  <si>
    <t xml:space="preserve">Task ID</t>
  </si>
  <si>
    <t xml:space="preserve">Sub-module</t>
  </si>
  <si>
    <t xml:space="preserve">Feature / Task</t>
  </si>
  <si>
    <t xml:space="preserve">Description</t>
  </si>
  <si>
    <t xml:space="preserve">Screen names (Figma frames)</t>
  </si>
  <si>
    <t xml:space="preserve">Figma</t>
  </si>
  <si>
    <t xml:space="preserve">Est. days</t>
  </si>
  <si>
    <t xml:space="preserve">Assignee</t>
  </si>
  <si>
    <t xml:space="preserve">Status</t>
  </si>
  <si>
    <t xml:space="preserve">Actual start</t>
  </si>
  <si>
    <t xml:space="preserve">Actual end</t>
  </si>
  <si>
    <t xml:space="preserve">Remarks</t>
  </si>
  <si>
    <t xml:space="preserve">M00.01.01</t>
  </si>
  <si>
    <t xml:space="preserve">Navigation &amp; Layout</t>
  </si>
  <si>
    <t xml:space="preserve">Org / clinic switcher</t>
  </si>
  <si>
    <t xml:space="preserve">Clinic logo and name with 'Powered by oralux'; collapse-panel toggle.</t>
  </si>
  <si>
    <t xml:space="preserve">Shared UI — appears on other screens</t>
  </si>
  <si>
    <t xml:space="preserve">Not started</t>
  </si>
  <si>
    <t xml:space="preserve">M00.01.02</t>
  </si>
  <si>
    <t xml:space="preserve">Sidebar menu</t>
  </si>
  <si>
    <t xml:space="preserve">Links to Dashboard, Appointments (Schedule), Patients and Reports.</t>
  </si>
  <si>
    <t xml:space="preserve">M00.01.03</t>
  </si>
  <si>
    <t xml:space="preserve">Global search (⌘K)</t>
  </si>
  <si>
    <t xml:space="preserve">Search patients and records from anywhere.</t>
  </si>
  <si>
    <t xml:space="preserve">M00.01.04</t>
  </si>
  <si>
    <t xml:space="preserve">Notifications</t>
  </si>
  <si>
    <t xml:space="preserve">Bell with unread count badge.</t>
  </si>
  <si>
    <t xml:space="preserve">M00.01.05</t>
  </si>
  <si>
    <t xml:space="preserve">User menu</t>
  </si>
  <si>
    <t xml:space="preserve">Logged-in dentist name, email and avatar; entry to Account.</t>
  </si>
  <si>
    <t xml:space="preserve">M01.01.01</t>
  </si>
  <si>
    <t xml:space="preserve">Overview</t>
  </si>
  <si>
    <t xml:space="preserve">Greeting &amp; day summary</t>
  </si>
  <si>
    <t xml:space="preserve">Greeting, date and number of appointments today.</t>
  </si>
  <si>
    <t xml:space="preserve">Dashboard — Dentist · Overview</t>
  </si>
  <si>
    <t xml:space="preserve">Open</t>
  </si>
  <si>
    <t xml:space="preserve">M01.01.02</t>
  </si>
  <si>
    <t xml:space="preserve">Today's schedule</t>
  </si>
  <si>
    <t xml:space="preserve">Timeline of today's appointments with status; next free slot; View all.</t>
  </si>
  <si>
    <t xml:space="preserve">M01.01.03</t>
  </si>
  <si>
    <t xml:space="preserve">Up next card</t>
  </si>
  <si>
    <t xml:space="preserve">Next patient in N minutes with procedure/tooth; View patient / Dental chart shortcuts.</t>
  </si>
  <si>
    <t xml:space="preserve">M01.01.04</t>
  </si>
  <si>
    <t xml:space="preserve">Appointment requests widget</t>
  </si>
  <si>
    <t xml:space="preserve">Pending requests with Accept / Decline.</t>
  </si>
  <si>
    <t xml:space="preserve">M01.01.05</t>
  </si>
  <si>
    <t xml:space="preserve">Patients seen per month</t>
  </si>
  <si>
    <t xml:space="preserve">Bar chart of the last 6 months with % change.</t>
  </si>
  <si>
    <t xml:space="preserve">M01.01.06</t>
  </si>
  <si>
    <t xml:space="preserve">Recent patients</t>
  </si>
  <si>
    <t xml:space="preserve">Patients from the most recent visits.</t>
  </si>
  <si>
    <t xml:space="preserve">M02.01.01</t>
  </si>
  <si>
    <t xml:space="preserve">Calendar Views</t>
  </si>
  <si>
    <t xml:space="preserve">Day view</t>
  </si>
  <si>
    <t xml:space="preserve">Hourly timeline per dentist with status counts, Next up, and the requests panel.</t>
  </si>
  <si>
    <t xml:space="preserve">Appointments - Day
Appointments - Day</t>
  </si>
  <si>
    <t xml:space="preserve">M02.01.02</t>
  </si>
  <si>
    <t xml:space="preserve">Date filter</t>
  </si>
  <si>
    <t xml:space="preserve">Date picker to jump to a specific day.</t>
  </si>
  <si>
    <t xml:space="preserve">Appointments - Day · Date filter</t>
  </si>
  <si>
    <t xml:space="preserve">M02.01.03</t>
  </si>
  <si>
    <t xml:space="preserve">Week view</t>
  </si>
  <si>
    <t xml:space="preserve">Week grid with appointment counts per day.</t>
  </si>
  <si>
    <t xml:space="preserve">Appointments - Week</t>
  </si>
  <si>
    <t xml:space="preserve">M02.01.04</t>
  </si>
  <si>
    <t xml:space="preserve">Month view</t>
  </si>
  <si>
    <t xml:space="preserve">Month grid of appointments.</t>
  </si>
  <si>
    <t xml:space="preserve">Appointments - Month</t>
  </si>
  <si>
    <t xml:space="preserve">M02.01.05</t>
  </si>
  <si>
    <t xml:space="preserve">Filters &amp; toolbar</t>
  </si>
  <si>
    <t xml:space="preserve">Today, treatment filter, chair filter, Day/Week/Month toggle, Full screen, New appointment.</t>
  </si>
  <si>
    <t xml:space="preserve">M02.01.06</t>
  </si>
  <si>
    <t xml:space="preserve">Status legend &amp; summary</t>
  </si>
  <si>
    <t xml:space="preserve">Confirmed, Pending, Rescheduled, Cancelled, Completed, In chair, Checked in, No-show.</t>
  </si>
  <si>
    <t xml:space="preserve">M02.02.01</t>
  </si>
  <si>
    <t xml:space="preserve">Appointment Details</t>
  </si>
  <si>
    <t xml:space="preserve">View details</t>
  </si>
  <si>
    <t xml:space="preserve">Appointment details modal opened from the calendar.</t>
  </si>
  <si>
    <t xml:space="preserve">Appointments - Day · Details · Modal</t>
  </si>
  <si>
    <t xml:space="preserve">M02.02.02</t>
  </si>
  <si>
    <t xml:space="preserve">Status states</t>
  </si>
  <si>
    <t xml:space="preserve">Details modal for Pending, Confirmed, Rescheduled, Cancelled and Completed.</t>
  </si>
  <si>
    <t xml:space="preserve">Details modal · Pending
Details modal · Confirmed
Details modal · Rescheduled
Details modal · Cancelled
Details modal · Completed
Details modal · Completed</t>
  </si>
  <si>
    <t xml:space="preserve">M02.02.03</t>
  </si>
  <si>
    <t xml:space="preserve">Reschedule</t>
  </si>
  <si>
    <t xml:space="preserve">Pick a new date and time for an appointment.</t>
  </si>
  <si>
    <t xml:space="preserve">Details modal · Reschedule</t>
  </si>
  <si>
    <t xml:space="preserve">M02.02.04</t>
  </si>
  <si>
    <t xml:space="preserve">Cancel appointment</t>
  </si>
  <si>
    <t xml:space="preserve">Confirmation dialog for cancelling.</t>
  </si>
  <si>
    <t xml:space="preserve">Cancel dialog</t>
  </si>
  <si>
    <t xml:space="preserve">M02.02.05</t>
  </si>
  <si>
    <t xml:space="preserve">More actions menu</t>
  </si>
  <si>
    <t xml:space="preserve">Overflow actions on a confirmed appointment.</t>
  </si>
  <si>
    <t xml:space="preserve">Details modal · Confirmed · More action open</t>
  </si>
  <si>
    <t xml:space="preserve">M02.02.06</t>
  </si>
  <si>
    <t xml:space="preserve">Change procedure</t>
  </si>
  <si>
    <t xml:space="preserve">Multi-select to change the booked procedures.</t>
  </si>
  <si>
    <t xml:space="preserve">Details modal · Change procedure · Multi-select</t>
  </si>
  <si>
    <t xml:space="preserve">M02.02.07</t>
  </si>
  <si>
    <t xml:space="preserve">Last visit history</t>
  </si>
  <si>
    <t xml:space="preserve">Expandable summary of the patient's last visit.</t>
  </si>
  <si>
    <t xml:space="preserve">Details modal · Last visit (expanded)</t>
  </si>
  <si>
    <t xml:space="preserve">M02.03.01</t>
  </si>
  <si>
    <t xml:space="preserve">Add Appointment</t>
  </si>
  <si>
    <t xml:space="preserve">Select patient</t>
  </si>
  <si>
    <t xml:space="preserve">Search and pick a patient (empty, dropdown and selected states).</t>
  </si>
  <si>
    <t xml:space="preserve">Appointments - Add appointment · Select patient (1 empty)
Appointments - Add appointment · Select patient (2 dropdown)
Appointments - Add appointment · Select patient (3 selected)</t>
  </si>
  <si>
    <t xml:space="preserve">M02.03.02</t>
  </si>
  <si>
    <t xml:space="preserve">Select procedure &amp; schedule</t>
  </si>
  <si>
    <t xml:space="preserve">Choose procedures, dentist, date and time.</t>
  </si>
  <si>
    <t xml:space="preserve">Appointments - Add appointment</t>
  </si>
  <si>
    <t xml:space="preserve">M02.03.03</t>
  </si>
  <si>
    <t xml:space="preserve">All procedures list</t>
  </si>
  <si>
    <t xml:space="preserve">Browse the full procedure catalogue.</t>
  </si>
  <si>
    <t xml:space="preserve">Appointments - Add appointment · All procedures</t>
  </si>
  <si>
    <t xml:space="preserve">M02.03.04</t>
  </si>
  <si>
    <t xml:space="preserve">Review &amp; confirm</t>
  </si>
  <si>
    <t xml:space="preserve">Summary before booking.</t>
  </si>
  <si>
    <t xml:space="preserve">Appointments - Add appointment · Review &amp; confirm</t>
  </si>
  <si>
    <t xml:space="preserve">M02.03.05</t>
  </si>
  <si>
    <t xml:space="preserve">Booking confirmation</t>
  </si>
  <si>
    <t xml:space="preserve">Success state after booking.</t>
  </si>
  <si>
    <t xml:space="preserve">Appointments - Add appointment · Booked</t>
  </si>
  <si>
    <t xml:space="preserve">M02.04.01</t>
  </si>
  <si>
    <t xml:space="preserve">Appointment Requests</t>
  </si>
  <si>
    <t xml:space="preserve">Requests drawer</t>
  </si>
  <si>
    <t xml:space="preserve">Search requests; Accept / Decline; New / Approved / Declined tabs.</t>
  </si>
  <si>
    <t xml:space="preserve">Appointments — Calendar - Requests drawer</t>
  </si>
  <si>
    <t xml:space="preserve">M02.04.02</t>
  </si>
  <si>
    <t xml:space="preserve">Request details</t>
  </si>
  <si>
    <t xml:space="preserve">Full details of a single request.</t>
  </si>
  <si>
    <t xml:space="preserve">Appointments — Calendar - Requests drawer · View details</t>
  </si>
  <si>
    <t xml:space="preserve">M03.01.01</t>
  </si>
  <si>
    <t xml:space="preserve">Patient List</t>
  </si>
  <si>
    <t xml:space="preserve">Patient list</t>
  </si>
  <si>
    <t xml:space="preserve">Table of name, dentist, last procedure, last visit, balance, status; search; pagination.</t>
  </si>
  <si>
    <t xml:space="preserve">Patients — List</t>
  </si>
  <si>
    <t xml:space="preserve">M03.02.01</t>
  </si>
  <si>
    <t xml:space="preserve">Add Patient</t>
  </si>
  <si>
    <t xml:space="preserve">Add patient form</t>
  </si>
  <si>
    <t xml:space="preserve">Photo, patient information, contact details, tags and notes.</t>
  </si>
  <si>
    <t xml:space="preserve">Patients — Add patient · Modal · v2 (field list) · Desktop</t>
  </si>
  <si>
    <t xml:space="preserve">M03.02.02</t>
  </si>
  <si>
    <t xml:space="preserve">Add success</t>
  </si>
  <si>
    <t xml:space="preserve">Confirmation after the record is created.</t>
  </si>
  <si>
    <t xml:space="preserve">Patients — Add patient · Success · Desktop</t>
  </si>
  <si>
    <t xml:space="preserve">M03.02.03</t>
  </si>
  <si>
    <t xml:space="preserve">Duplicate detection</t>
  </si>
  <si>
    <t xml:space="preserve">Compare the new entry with a matching existing record (% match).</t>
  </si>
  <si>
    <t xml:space="preserve">Patients — Add patient · Duplicate found · v1 (comparison) · Desktop</t>
  </si>
  <si>
    <t xml:space="preserve">M03.02.04</t>
  </si>
  <si>
    <t xml:space="preserve">Merge records</t>
  </si>
  <si>
    <t xml:space="preserve">Confirm merging with the existing record.</t>
  </si>
  <si>
    <t xml:space="preserve">Patients — Add patient · Merge confirmation · Desktop</t>
  </si>
  <si>
    <t xml:space="preserve">M03.02.05</t>
  </si>
  <si>
    <t xml:space="preserve">Merge success</t>
  </si>
  <si>
    <t xml:space="preserve">Confirmation after merging.</t>
  </si>
  <si>
    <t xml:space="preserve">Patients — Add patient · Merge success · Desktop</t>
  </si>
  <si>
    <t xml:space="preserve">M03.03.01</t>
  </si>
  <si>
    <t xml:space="preserve">Patient Details · Header</t>
  </si>
  <si>
    <t xml:space="preserve">Patient summary</t>
  </si>
  <si>
    <t xml:space="preserve">ID, name, status, member since, age, DOB, gender, primary dentist, last visit.</t>
  </si>
  <si>
    <t xml:space="preserve">M03.03.02</t>
  </si>
  <si>
    <t xml:space="preserve">Quick actions</t>
  </si>
  <si>
    <t xml:space="preserve">Message, Book appointment, Print information, Update, More action.</t>
  </si>
  <si>
    <t xml:space="preserve">M03.03.03</t>
  </si>
  <si>
    <t xml:space="preserve">Outstanding balance</t>
  </si>
  <si>
    <t xml:space="preserve">Balance and last payment; Add payment; View statement.</t>
  </si>
  <si>
    <t xml:space="preserve">M03.03.04</t>
  </si>
  <si>
    <t xml:space="preserve">Recent activity</t>
  </si>
  <si>
    <t xml:space="preserve">Audit feed of changes to the patient record.</t>
  </si>
  <si>
    <t xml:space="preserve">M03.04.01</t>
  </si>
  <si>
    <t xml:space="preserve">General</t>
  </si>
  <si>
    <t xml:space="preserve">View general info</t>
  </si>
  <si>
    <t xml:space="preserve">Contact, emergency contact, other info, data-privacy consent, insurance, membership, notes.</t>
  </si>
  <si>
    <t xml:space="preserve">Patients — Details · General 1 · Desktop</t>
  </si>
  <si>
    <t xml:space="preserve">M03.04.02</t>
  </si>
  <si>
    <t xml:space="preserve">Edit general info</t>
  </si>
  <si>
    <t xml:space="preserve">Edit mode for the General tab.</t>
  </si>
  <si>
    <t xml:space="preserve">Patients — Details · General 1 · Edit · Desktop</t>
  </si>
  <si>
    <t xml:space="preserve">M03.05.01</t>
  </si>
  <si>
    <t xml:space="preserve">Medical History</t>
  </si>
  <si>
    <t xml:space="preserve">View medical history</t>
  </si>
  <si>
    <t xml:space="preserve">Answers to medical questions; last reviewed; Mark as reviewed.</t>
  </si>
  <si>
    <t xml:space="preserve">Patients — Details · Medical History · Layout C · Desktop</t>
  </si>
  <si>
    <t xml:space="preserve">M03.05.02</t>
  </si>
  <si>
    <t xml:space="preserve">Edit medical history</t>
  </si>
  <si>
    <t xml:space="preserve">Edit mode for medical history answers.</t>
  </si>
  <si>
    <t xml:space="preserve">Patients — Details · Medical History · Layout C · Edit · Desktop</t>
  </si>
  <si>
    <t xml:space="preserve">M03.06.01</t>
  </si>
  <si>
    <t xml:space="preserve">Dental Record Chart</t>
  </si>
  <si>
    <t xml:space="preserve">Chart · collapsed</t>
  </si>
  <si>
    <t xml:space="preserve">Chart with the findings summary collapsed.</t>
  </si>
  <si>
    <t xml:space="preserve">Patients — Details · Dental Record Chart · Many findings · Collapsed · Desktop</t>
  </si>
  <si>
    <t xml:space="preserve">M03.06.02</t>
  </si>
  <si>
    <t xml:space="preserve">Chart · expanded</t>
  </si>
  <si>
    <t xml:space="preserve">Chart with the summary of conditions per tooth expanded.</t>
  </si>
  <si>
    <t xml:space="preserve">Patients — Details · Dental Record Chart · Many findings · Expanded · Desktop</t>
  </si>
  <si>
    <t xml:space="preserve">M03.06.03</t>
  </si>
  <si>
    <t xml:space="preserve">Full-screen chart</t>
  </si>
  <si>
    <t xml:space="preserve">Distraction-free chart editing.</t>
  </si>
  <si>
    <t xml:space="preserve">Patients — Dental Record Chart · Full screen · Desktop</t>
  </si>
  <si>
    <t xml:space="preserve">M03.07.01</t>
  </si>
  <si>
    <t xml:space="preserve">Transaction Record</t>
  </si>
  <si>
    <t xml:space="preserve">Transaction list</t>
  </si>
  <si>
    <t xml:space="preserve">Filter by All / Paid / Unpaid / Partial / Cancelled; date range; pagination.</t>
  </si>
  <si>
    <t xml:space="preserve">Patients — Details · Transaction Record · Desktop</t>
  </si>
  <si>
    <t xml:space="preserve">M03.07.02</t>
  </si>
  <si>
    <t xml:space="preserve">Add transaction · type</t>
  </si>
  <si>
    <t xml:space="preserve">Choose the transaction type (Procedure, Purchase item).</t>
  </si>
  <si>
    <t xml:space="preserve">Patients — Details · Transaction Record · Add transaction · Transaction type · Layout B · Desktop</t>
  </si>
  <si>
    <t xml:space="preserve">M03.07.03</t>
  </si>
  <si>
    <t xml:space="preserve">Procedure transaction</t>
  </si>
  <si>
    <t xml:space="preserve">New procedure form: line items with procedure, tooth no., cost, discount and total; search-as-you-type for procedures; Save transaction.</t>
  </si>
  <si>
    <t xml:space="preserve">Patients — Details · Transaction Record · Add transaction · Procedure · Layout B · Desktop
Patients — Details · Transaction Record · Add transaction · Procedure · Layout B · Typing a procedure · Desktop</t>
  </si>
  <si>
    <t xml:space="preserve">M03.07.04</t>
  </si>
  <si>
    <t xml:space="preserve">Add procedure</t>
  </si>
  <si>
    <t xml:space="preserve">Add a procedure line with tooth no., cost, discount and total cost.</t>
  </si>
  <si>
    <t xml:space="preserve">Patients — Details · Transaction Record · Add transaction · Procedure · Add procedure · Desktop</t>
  </si>
  <si>
    <t xml:space="preserve">M03.07.05</t>
  </si>
  <si>
    <t xml:space="preserve">Browse all procedures</t>
  </si>
  <si>
    <t xml:space="preserve">Full procedure catalogue with prices to pick from.</t>
  </si>
  <si>
    <t xml:space="preserve">Patients — Details · Transaction Record · Add transaction · Procedure · Add procedure · All procedures · Desktop</t>
  </si>
  <si>
    <t xml:space="preserve">M03.07.06</t>
  </si>
  <si>
    <t xml:space="preserve">Purchase item transaction</t>
  </si>
  <si>
    <t xml:space="preserve">New purchase form: items with quantity and unit price; Save transaction.</t>
  </si>
  <si>
    <t xml:space="preserve">Patients — Details · Transaction Record · Add transaction · Purchase Item · Desktop</t>
  </si>
  <si>
    <t xml:space="preserve">M03.07.07</t>
  </si>
  <si>
    <t xml:space="preserve">Add item</t>
  </si>
  <si>
    <t xml:space="preserve">Add a purchase item line.</t>
  </si>
  <si>
    <t xml:space="preserve">Patients — Details · Transaction Record · Add transaction · Purchase Item · Add item · Desktop</t>
  </si>
  <si>
    <t xml:space="preserve">M03.07.08</t>
  </si>
  <si>
    <t xml:space="preserve">Browse all items</t>
  </si>
  <si>
    <t xml:space="preserve">Item catalogue with stock and price to pick from.</t>
  </si>
  <si>
    <t xml:space="preserve">Patients — Details · Transaction Record · Add transaction · Purchase Item · Add item · All items · Desktop</t>
  </si>
  <si>
    <t xml:space="preserve">M03.08.01</t>
  </si>
  <si>
    <t xml:space="preserve">Statement of Account</t>
  </si>
  <si>
    <t xml:space="preserve">Statement of account</t>
  </si>
  <si>
    <t xml:space="preserve">Date range ledger with amount, payments and running balance; Print.</t>
  </si>
  <si>
    <t xml:space="preserve">Patients — Details · Statement of Account · Layout B · Desktop</t>
  </si>
  <si>
    <t xml:space="preserve">M03.09.01</t>
  </si>
  <si>
    <t xml:space="preserve">Docs</t>
  </si>
  <si>
    <t xml:space="preserve">Document list</t>
  </si>
  <si>
    <t xml:space="preserve">Table of documents with type filter.</t>
  </si>
  <si>
    <t xml:space="preserve">Patients — Details · Docs · Layout C · Desktop</t>
  </si>
  <si>
    <t xml:space="preserve">M03.09.02</t>
  </si>
  <si>
    <t xml:space="preserve">Row actions menu</t>
  </si>
  <si>
    <t xml:space="preserve">Per-document actions.</t>
  </si>
  <si>
    <t xml:space="preserve">Patients — Details · Docs · Layout C · Row menu · Desktop</t>
  </si>
  <si>
    <t xml:space="preserve">M03.09.03</t>
  </si>
  <si>
    <t xml:space="preserve">Add document · choose type</t>
  </si>
  <si>
    <t xml:space="preserve">Pick Prescription, Dental Certificate, Informed Consent, Privacy Notice, Upload or Custom.</t>
  </si>
  <si>
    <t xml:space="preserve">Patients — Docs · Add document · 1 Choose type · Desktop</t>
  </si>
  <si>
    <t xml:space="preserve">M03.09.04</t>
  </si>
  <si>
    <t xml:space="preserve">Prescription</t>
  </si>
  <si>
    <t xml:space="preserve">Medicines and dosage on the clinic Rx letterhead.</t>
  </si>
  <si>
    <t xml:space="preserve">Patients — Docs · Add document · 2 Prescription · Desktop</t>
  </si>
  <si>
    <t xml:space="preserve">M03.09.05</t>
  </si>
  <si>
    <t xml:space="preserve">Dental certificate</t>
  </si>
  <si>
    <t xml:space="preserve">Certify an exam or procedure for school or work.</t>
  </si>
  <si>
    <t xml:space="preserve">Patients — Docs · Add document · 3 Dental Certificate · Desktop</t>
  </si>
  <si>
    <t xml:space="preserve">M03.09.06</t>
  </si>
  <si>
    <t xml:space="preserve">Informed consent</t>
  </si>
  <si>
    <t xml:space="preserve">Record patient consent before a procedure.</t>
  </si>
  <si>
    <t xml:space="preserve">Patients — Docs · Add document · 4 Informed Consent · Desktop</t>
  </si>
  <si>
    <t xml:space="preserve">M03.09.07</t>
  </si>
  <si>
    <t xml:space="preserve">Privacy notice &amp; consent</t>
  </si>
  <si>
    <t xml:space="preserve">Data-privacy notice with tap-to-sign and signed states.</t>
  </si>
  <si>
    <t xml:space="preserve">Patients — Docs · Add document · 4b Privacy Notice and Consent · Desktop
Patients — Docs · Add document · 4c Privacy Notice and Consent · Signed · Desktop
Patients — Docs · Add document · 4d Privacy Notice · Tap to sign · Desktop</t>
  </si>
  <si>
    <t xml:space="preserve">M03.09.08</t>
  </si>
  <si>
    <t xml:space="preserve">Upload document</t>
  </si>
  <si>
    <t xml:space="preserve">Attach a scan, x-ray or PDF.</t>
  </si>
  <si>
    <t xml:space="preserve">Patients — Docs · Add document · 5 Upload · Desktop</t>
  </si>
  <si>
    <t xml:space="preserve">M03.09.09</t>
  </si>
  <si>
    <t xml:space="preserve">Custom document</t>
  </si>
  <si>
    <t xml:space="preserve">Free-form document on the clinic letterhead.</t>
  </si>
  <si>
    <t xml:space="preserve">Patients — Docs · Add document · 6 Custom · Desktop</t>
  </si>
  <si>
    <t xml:space="preserve">M03.10.01</t>
  </si>
  <si>
    <t xml:space="preserve">Images</t>
  </si>
  <si>
    <t xml:space="preserve">Photos</t>
  </si>
  <si>
    <t xml:space="preserve">Photo grid including the empty state.</t>
  </si>
  <si>
    <t xml:space="preserve">Patients — Details · Images · Photos · Empty · Desktop
Patients — Details · Images · Desktop</t>
  </si>
  <si>
    <t xml:space="preserve">M03.10.02</t>
  </si>
  <si>
    <t xml:space="preserve">Upload photos</t>
  </si>
  <si>
    <t xml:space="preserve">Upload new photos (empty and filled states).</t>
  </si>
  <si>
    <t xml:space="preserve">Patients — Details · Images · Upload photos · Empty · Desktop
Patients — Details · Images · Upload photos · Desktop</t>
  </si>
  <si>
    <t xml:space="preserve">M03.10.03</t>
  </si>
  <si>
    <t xml:space="preserve">Albums</t>
  </si>
  <si>
    <t xml:space="preserve">Group photos into albums.</t>
  </si>
  <si>
    <t xml:space="preserve">Patients — Details · Images · Albums · Desktop</t>
  </si>
  <si>
    <t xml:space="preserve">M03.10.04</t>
  </si>
  <si>
    <t xml:space="preserve">Album detail</t>
  </si>
  <si>
    <t xml:space="preserve">View an album; add photos from patient photos or upload new.</t>
  </si>
  <si>
    <t xml:space="preserve">Patients — Details · Images · Album detail · Desktop
Patients — Details · Images · Album detail · Add photos · Desktop
Patients — Details · Images · Album detail · Add photos · Upload new · Desktop</t>
  </si>
  <si>
    <t xml:space="preserve">M03.10.05</t>
  </si>
  <si>
    <t xml:space="preserve">Photo viewer</t>
  </si>
  <si>
    <t xml:space="preserve">Full-size viewer with edit details and delete confirmation.</t>
  </si>
  <si>
    <t xml:space="preserve">Patients — Details · Images · Photo viewer · Desktop
Patients — Details · Images · Photo viewer · Edit details · Desktop
Patients — Details · Images · Photo viewer · Delete confirmation · Desktop</t>
  </si>
  <si>
    <t xml:space="preserve">M04.01.01</t>
  </si>
  <si>
    <t xml:space="preserve">Patients Report</t>
  </si>
  <si>
    <t xml:space="preserve">Filters &amp; dentist selection</t>
  </si>
  <si>
    <t xml:space="preserve">Empty state with filters and dentist dropdown.</t>
  </si>
  <si>
    <t xml:space="preserve">Reports — Patients Report · Patient Details · Empty · Dentist dropdown</t>
  </si>
  <si>
    <t xml:space="preserve">M04.01.02</t>
  </si>
  <si>
    <t xml:space="preserve">Patient details report</t>
  </si>
  <si>
    <t xml:space="preserve">Age, gender, insurance, effective date, status, tag.</t>
  </si>
  <si>
    <t xml:space="preserve">Reports — Patients Report · Patient Details · Results</t>
  </si>
  <si>
    <t xml:space="preserve">M04.01.03</t>
  </si>
  <si>
    <t xml:space="preserve">Procedure report</t>
  </si>
  <si>
    <t xml:space="preserve">Procedures done per patient by date.</t>
  </si>
  <si>
    <t xml:space="preserve">Reports — Patients Report · Procedure · Results</t>
  </si>
  <si>
    <t xml:space="preserve">M04.01.04</t>
  </si>
  <si>
    <t xml:space="preserve">Tooth condition report</t>
  </si>
  <si>
    <t xml:space="preserve">Findings per tooth number.</t>
  </si>
  <si>
    <t xml:space="preserve">Reports — Patients Report · Tooth Condition · Results</t>
  </si>
  <si>
    <t xml:space="preserve">M04.01.05</t>
  </si>
  <si>
    <t xml:space="preserve">Filter columns</t>
  </si>
  <si>
    <t xml:space="preserve">Choose which columns to show and export.</t>
  </si>
  <si>
    <t xml:space="preserve">Reports — Patients Report · Patient Details · Results · Filter columns</t>
  </si>
  <si>
    <t xml:space="preserve">M04.02.01</t>
  </si>
  <si>
    <t xml:space="preserve">Commission Report</t>
  </si>
  <si>
    <t xml:space="preserve">Commission report</t>
  </si>
  <si>
    <t xml:space="preserve">Transactions with total, paid and commission; Pending / Available / Paid out; page totals.</t>
  </si>
  <si>
    <t xml:space="preserve">Reports — Commission Report · Results</t>
  </si>
  <si>
    <t xml:space="preserve">M05.01.01</t>
  </si>
  <si>
    <t xml:space="preserve">Profile</t>
  </si>
  <si>
    <t xml:space="preserve">Profile details</t>
  </si>
  <si>
    <t xml:space="preserve">Profile, email, mobile number and password overview.</t>
  </si>
  <si>
    <t xml:space="preserve">Profile — Account · Profile</t>
  </si>
  <si>
    <t xml:space="preserve">M05.01.02</t>
  </si>
  <si>
    <t xml:space="preserve">Update profile</t>
  </si>
  <si>
    <t xml:space="preserve">Edit name and profile photo.</t>
  </si>
  <si>
    <t xml:space="preserve">Profile — Account · Modal · Update profile</t>
  </si>
  <si>
    <t xml:space="preserve">M05.01.03</t>
  </si>
  <si>
    <t xml:space="preserve">Update email</t>
  </si>
  <si>
    <t xml:space="preserve">Change email address.</t>
  </si>
  <si>
    <t xml:space="preserve">Profile — Account · Modal · Update email</t>
  </si>
  <si>
    <t xml:space="preserve">M05.01.04</t>
  </si>
  <si>
    <t xml:space="preserve">Verify email</t>
  </si>
  <si>
    <t xml:space="preserve">Enter the verification code for a new email.</t>
  </si>
  <si>
    <t xml:space="preserve">Profile — Account · Modal · Verify email address</t>
  </si>
  <si>
    <t xml:space="preserve">M05.01.05</t>
  </si>
  <si>
    <t xml:space="preserve">Update mobile number</t>
  </si>
  <si>
    <t xml:space="preserve">Change mobile number.</t>
  </si>
  <si>
    <t xml:space="preserve">Profile — Account · Modal · Update mobile number</t>
  </si>
  <si>
    <t xml:space="preserve">M05.01.06</t>
  </si>
  <si>
    <t xml:space="preserve">Update password</t>
  </si>
  <si>
    <t xml:space="preserve">Change password.</t>
  </si>
  <si>
    <t xml:space="preserve">Profile — Account · Modal · Update password</t>
  </si>
  <si>
    <t xml:space="preserve">M05.02.01</t>
  </si>
  <si>
    <t xml:space="preserve">My Signature</t>
  </si>
  <si>
    <t xml:space="preserve">Signature · empty</t>
  </si>
  <si>
    <t xml:space="preserve">No signature saved yet.</t>
  </si>
  <si>
    <t xml:space="preserve">Profile — Account · My signature · Empty</t>
  </si>
  <si>
    <t xml:space="preserve">M05.02.02</t>
  </si>
  <si>
    <t xml:space="preserve">Signature · saved</t>
  </si>
  <si>
    <t xml:space="preserve">Saved signature preview.</t>
  </si>
  <si>
    <t xml:space="preserve">Profile — Account · My signature · Saved</t>
  </si>
  <si>
    <t xml:space="preserve">M05.02.03</t>
  </si>
  <si>
    <t xml:space="preserve">Draw signature</t>
  </si>
  <si>
    <t xml:space="preserve">Draw a signature in a modal.</t>
  </si>
  <si>
    <t xml:space="preserve">Profile — Account · My signature · Draw modal</t>
  </si>
  <si>
    <t xml:space="preserve">M05.02.04</t>
  </si>
  <si>
    <t xml:space="preserve">Upload signature</t>
  </si>
  <si>
    <t xml:space="preserve">Upload a signature image.</t>
  </si>
  <si>
    <t xml:space="preserve">Profile — Account · My signature · Upload modal</t>
  </si>
  <si>
    <t xml:space="preserve">M05.02.05</t>
  </si>
  <si>
    <t xml:space="preserve">Remove signature</t>
  </si>
  <si>
    <t xml:space="preserve">Confirm removing the signature.</t>
  </si>
  <si>
    <t xml:space="preserve">Profile — Account · My signature · Remove confirmation</t>
  </si>
  <si>
    <t xml:space="preserve">Total</t>
  </si>
  <si>
    <t xml:space="preserve">Screen List</t>
  </si>
  <si>
    <t xml:space="preserve">Every Figma frame and the task it belongs to.</t>
  </si>
  <si>
    <t xml:space="preserve">#</t>
  </si>
  <si>
    <t xml:space="preserve">Figma frame name</t>
  </si>
  <si>
    <t xml:space="preserve">Appointments - Day</t>
  </si>
  <si>
    <t xml:space="preserve">Details modal · Pending</t>
  </si>
  <si>
    <t xml:space="preserve">Details modal · Confirmed</t>
  </si>
  <si>
    <t xml:space="preserve">Details modal · Rescheduled</t>
  </si>
  <si>
    <t xml:space="preserve">Details modal · Cancelled</t>
  </si>
  <si>
    <t xml:space="preserve">Details modal · Completed</t>
  </si>
  <si>
    <t xml:space="preserve">Appointments - Add appointment · Select patient (1 empty)</t>
  </si>
  <si>
    <t xml:space="preserve">Appointments - Add appointment · Select patient (2 dropdown)</t>
  </si>
  <si>
    <t xml:space="preserve">Appointments - Add appointment · Select patient (3 selected)</t>
  </si>
  <si>
    <t xml:space="preserve">Patients — Details · Transaction Record · Add transaction · Procedure · Layout B · Desktop</t>
  </si>
  <si>
    <t xml:space="preserve">Patients — Details · Transaction Record · Add transaction · Procedure · Layout B · Typing a procedure · Desktop</t>
  </si>
  <si>
    <t xml:space="preserve">Patients — Docs · Add document · 4b Privacy Notice and Consent · Desktop</t>
  </si>
  <si>
    <t xml:space="preserve">Patients — Docs · Add document · 4c Privacy Notice and Consent · Signed · Desktop</t>
  </si>
  <si>
    <t xml:space="preserve">Patients — Docs · Add document · 4d Privacy Notice · Tap to sign · Desktop</t>
  </si>
  <si>
    <t xml:space="preserve">Patients — Details · Images · Photos · Empty · Desktop</t>
  </si>
  <si>
    <t xml:space="preserve">Patients — Details · Images · Desktop</t>
  </si>
  <si>
    <t xml:space="preserve">Patients — Details · Images · Upload photos · Empty · Desktop</t>
  </si>
  <si>
    <t xml:space="preserve">Patients — Details · Images · Upload photos · Desktop</t>
  </si>
  <si>
    <t xml:space="preserve">Patients — Details · Images · Album detail · Desktop</t>
  </si>
  <si>
    <t xml:space="preserve">Patients — Details · Images · Album detail · Add photos · Desktop</t>
  </si>
  <si>
    <t xml:space="preserve">Patients — Details · Images · Album detail · Add photos · Upload new · Desktop</t>
  </si>
  <si>
    <t xml:space="preserve">Patients — Details · Images · Photo viewer · Desktop</t>
  </si>
  <si>
    <t xml:space="preserve">Patients — Details · Images · Photo viewer · Edit details · Desktop</t>
  </si>
  <si>
    <t xml:space="preserve">Patients — Details · Images · Photo viewer · Delete confirmation · Desktop</t>
  </si>
  <si>
    <t xml:space="preserve">Project Setup</t>
  </si>
  <si>
    <t xml:space="preserve">Edit the blue cells. All dates in the plan recalculate from these.</t>
  </si>
  <si>
    <t xml:space="preserve">Project start date</t>
  </si>
  <si>
    <t xml:space="preserve">Monday, Oct 19, 2026 is a placeholder. Set it to the real kickoff date.</t>
  </si>
  <si>
    <t xml:space="preserve">Legend</t>
  </si>
  <si>
    <t xml:space="preserve">Blue text</t>
  </si>
  <si>
    <t xml:space="preserve">Input you can change (start date, est. days, holidays). Typing a date over a Start formula pins that task.</t>
  </si>
  <si>
    <t xml:space="preserve">Yellow fill</t>
  </si>
  <si>
    <t xml:space="preserve">For the dev team to fill in (assignee, status, actual dates, remarks).</t>
  </si>
  <si>
    <t xml:space="preserve">Black text</t>
  </si>
  <si>
    <t xml:space="preserve">Formula. Don't type over it unless you mean to override it.</t>
  </si>
  <si>
    <t xml:space="preserve">Scheduling rules</t>
  </si>
  <si>
    <t xml:space="preserve">1.</t>
  </si>
  <si>
    <t xml:space="preserve">Dates skip weekends and the holidays below (WORKDAY).</t>
  </si>
  <si>
    <t xml:space="preserve">2.</t>
  </si>
  <si>
    <t xml:space="preserve">Inside a module, tasks run one after another: each starts the working day after the previous one ends.</t>
  </si>
  <si>
    <t xml:space="preserve">3.</t>
  </si>
  <si>
    <t xml:space="preserve">Modules run on 3 parallel tracks after Global / Shell: A = Appointments → Dashboard, B = Patients, C = Account → Reports.</t>
  </si>
  <si>
    <t xml:space="preserve">4.</t>
  </si>
  <si>
    <t xml:space="preserve">Est. days are placeholder estimates for one developer, based on screen count and complexity. The dev team should replace them.</t>
  </si>
  <si>
    <t xml:space="preserve">Holidays (non-working days)</t>
  </si>
  <si>
    <t xml:space="preserve">Source: Philippine regular and special non-working days; verify against the official proclamation for 2026 and 2027.</t>
  </si>
  <si>
    <t xml:space="preserve">Date</t>
  </si>
  <si>
    <t xml:space="preserve">Holiday</t>
  </si>
  <si>
    <t xml:space="preserve">All Souls' Day (special non-working, verify)</t>
  </si>
  <si>
    <t xml:space="preserve">Bonifacio Day</t>
  </si>
  <si>
    <t xml:space="preserve">Feast of the Immaculate Conception</t>
  </si>
  <si>
    <t xml:space="preserve">Christmas Eve</t>
  </si>
  <si>
    <t xml:space="preserve">Christmas Day</t>
  </si>
  <si>
    <t xml:space="preserve">Rizal Day</t>
  </si>
  <si>
    <t xml:space="preserve">Last Day of the Year</t>
  </si>
  <si>
    <t xml:space="preserve">New Year's Day</t>
  </si>
  <si>
    <t xml:space="preserve">EDSA Revolution Anniversary (verify)</t>
  </si>
  <si>
    <t xml:space="preserve">Maundy Thursday</t>
  </si>
  <si>
    <t xml:space="preserve">Good Friday</t>
  </si>
  <si>
    <t xml:space="preserve">Araw ng Kagitingan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</si>
</sst>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d"/>
    <numFmt numFmtId="166" formatCode="mmm\ d&quot;, &quot;yyyy"/>
    <numFmt numFmtId="167" formatCode="0%"/>
    <numFmt numFmtId="168" formatCode=";;;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EDE2F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2F5597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808080"/>
      </font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7E6E6"/>
      <rgbColor rgb="FFEDE2F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3-153060" TargetMode="External"/><Relationship Id="rId2" Type="http://schemas.openxmlformats.org/officeDocument/2006/relationships/hyperlink" Target="https://www.figma.com/design/dAKa9xPhXAuRKat5jGS8Hx/Dentist?node-id=13-128294" TargetMode="External"/><Relationship Id="rId3" Type="http://schemas.openxmlformats.org/officeDocument/2006/relationships/hyperlink" Target="https://www.figma.com/design/dAKa9xPhXAuRKat5jGS8Hx/Dentist?node-id=13-130942" TargetMode="External"/><Relationship Id="rId4" Type="http://schemas.openxmlformats.org/officeDocument/2006/relationships/hyperlink" Target="https://www.figma.com/design/dAKa9xPhXAuRKat5jGS8Hx/Dentist?node-id=13-129226" TargetMode="External"/><Relationship Id="rId5" Type="http://schemas.openxmlformats.org/officeDocument/2006/relationships/hyperlink" Target="https://www.figma.com/design/dAKa9xPhXAuRKat5jGS8Hx/Dentist?node-id=13-130013" TargetMode="External"/><Relationship Id="rId6" Type="http://schemas.openxmlformats.org/officeDocument/2006/relationships/hyperlink" Target="https://www.figma.com/design/dAKa9xPhXAuRKat5jGS8Hx/Dentist?node-id=13-131510" TargetMode="External"/><Relationship Id="rId7" Type="http://schemas.openxmlformats.org/officeDocument/2006/relationships/hyperlink" Target="https://www.figma.com/design/dAKa9xPhXAuRKat5jGS8Hx/Dentist?node-id=13-132073" TargetMode="External"/><Relationship Id="rId8" Type="http://schemas.openxmlformats.org/officeDocument/2006/relationships/hyperlink" Target="https://www.figma.com/design/dAKa9xPhXAuRKat5jGS8Hx/Dentist?node-id=13-132632" TargetMode="External"/><Relationship Id="rId9" Type="http://schemas.openxmlformats.org/officeDocument/2006/relationships/hyperlink" Target="https://www.figma.com/design/dAKa9xPhXAuRKat5jGS8Hx/Dentist?node-id=13-132872" TargetMode="External"/><Relationship Id="rId10" Type="http://schemas.openxmlformats.org/officeDocument/2006/relationships/hyperlink" Target="https://www.figma.com/design/dAKa9xPhXAuRKat5jGS8Hx/Dentist?node-id=13-132929" TargetMode="External"/><Relationship Id="rId11" Type="http://schemas.openxmlformats.org/officeDocument/2006/relationships/hyperlink" Target="https://www.figma.com/design/dAKa9xPhXAuRKat5jGS8Hx/Dentist?node-id=13-133036" TargetMode="External"/><Relationship Id="rId12" Type="http://schemas.openxmlformats.org/officeDocument/2006/relationships/hyperlink" Target="https://www.figma.com/design/dAKa9xPhXAuRKat5jGS8Hx/Dentist?node-id=13-132740" TargetMode="External"/><Relationship Id="rId13" Type="http://schemas.openxmlformats.org/officeDocument/2006/relationships/hyperlink" Target="https://www.figma.com/design/dAKa9xPhXAuRKat5jGS8Hx/Dentist?node-id=13-134199" TargetMode="External"/><Relationship Id="rId14" Type="http://schemas.openxmlformats.org/officeDocument/2006/relationships/hyperlink" Target="https://www.figma.com/design/dAKa9xPhXAuRKat5jGS8Hx/Dentist?node-id=13-133126" TargetMode="External"/><Relationship Id="rId15" Type="http://schemas.openxmlformats.org/officeDocument/2006/relationships/hyperlink" Target="https://www.figma.com/design/dAKa9xPhXAuRKat5jGS8Hx/Dentist?node-id=13-133598" TargetMode="External"/><Relationship Id="rId16" Type="http://schemas.openxmlformats.org/officeDocument/2006/relationships/hyperlink" Target="https://www.figma.com/design/dAKa9xPhXAuRKat5jGS8Hx/Dentist?node-id=13-136289" TargetMode="External"/><Relationship Id="rId17" Type="http://schemas.openxmlformats.org/officeDocument/2006/relationships/hyperlink" Target="https://www.figma.com/design/dAKa9xPhXAuRKat5jGS8Hx/Dentist?node-id=13-134700" TargetMode="External"/><Relationship Id="rId18" Type="http://schemas.openxmlformats.org/officeDocument/2006/relationships/hyperlink" Target="https://www.figma.com/design/dAKa9xPhXAuRKat5jGS8Hx/Dentist?node-id=13-127531" TargetMode="External"/><Relationship Id="rId19" Type="http://schemas.openxmlformats.org/officeDocument/2006/relationships/hyperlink" Target="https://www.figma.com/design/dAKa9xPhXAuRKat5jGS8Hx/Dentist?node-id=13-136855" TargetMode="External"/><Relationship Id="rId20" Type="http://schemas.openxmlformats.org/officeDocument/2006/relationships/hyperlink" Target="https://www.figma.com/design/dAKa9xPhXAuRKat5jGS8Hx/Dentist?node-id=13-137709" TargetMode="External"/><Relationship Id="rId21" Type="http://schemas.openxmlformats.org/officeDocument/2006/relationships/hyperlink" Target="https://www.figma.com/design/dAKa9xPhXAuRKat5jGS8Hx/Dentist?node-id=13-153349" TargetMode="External"/><Relationship Id="rId22" Type="http://schemas.openxmlformats.org/officeDocument/2006/relationships/hyperlink" Target="https://www.figma.com/design/dAKa9xPhXAuRKat5jGS8Hx/Dentist?node-id=13-153947" TargetMode="External"/><Relationship Id="rId23" Type="http://schemas.openxmlformats.org/officeDocument/2006/relationships/hyperlink" Target="https://www.figma.com/design/dAKa9xPhXAuRKat5jGS8Hx/Dentist?node-id=13-154392" TargetMode="External"/><Relationship Id="rId24" Type="http://schemas.openxmlformats.org/officeDocument/2006/relationships/hyperlink" Target="https://www.figma.com/design/dAKa9xPhXAuRKat5jGS8Hx/Dentist?node-id=13-154915" TargetMode="External"/><Relationship Id="rId25" Type="http://schemas.openxmlformats.org/officeDocument/2006/relationships/hyperlink" Target="https://www.figma.com/design/dAKa9xPhXAuRKat5jGS8Hx/Dentist?node-id=13-155469" TargetMode="External"/><Relationship Id="rId26" Type="http://schemas.openxmlformats.org/officeDocument/2006/relationships/hyperlink" Target="https://www.figma.com/design/dAKa9xPhXAuRKat5jGS8Hx/Dentist?node-id=13-138102" TargetMode="External"/><Relationship Id="rId27" Type="http://schemas.openxmlformats.org/officeDocument/2006/relationships/hyperlink" Target="https://www.figma.com/design/dAKa9xPhXAuRKat5jGS8Hx/Dentist?node-id=13-138389" TargetMode="External"/><Relationship Id="rId28" Type="http://schemas.openxmlformats.org/officeDocument/2006/relationships/hyperlink" Target="https://www.figma.com/design/dAKa9xPhXAuRKat5jGS8Hx/Dentist?node-id=13-138679" TargetMode="External"/><Relationship Id="rId29" Type="http://schemas.openxmlformats.org/officeDocument/2006/relationships/hyperlink" Target="https://www.figma.com/design/dAKa9xPhXAuRKat5jGS8Hx/Dentist?node-id=13-138977" TargetMode="External"/><Relationship Id="rId30" Type="http://schemas.openxmlformats.org/officeDocument/2006/relationships/hyperlink" Target="https://www.figma.com/design/dAKa9xPhXAuRKat5jGS8Hx/Dentist?node-id=13-139877" TargetMode="External"/><Relationship Id="rId31" Type="http://schemas.openxmlformats.org/officeDocument/2006/relationships/hyperlink" Target="https://www.figma.com/design/dAKa9xPhXAuRKat5jGS8Hx/Dentist?node-id=13-139308" TargetMode="External"/><Relationship Id="rId32" Type="http://schemas.openxmlformats.org/officeDocument/2006/relationships/hyperlink" Target="https://www.figma.com/design/dAKa9xPhXAuRKat5jGS8Hx/Dentist?node-id=13-140373" TargetMode="External"/><Relationship Id="rId33" Type="http://schemas.openxmlformats.org/officeDocument/2006/relationships/hyperlink" Target="https://www.figma.com/design/dAKa9xPhXAuRKat5jGS8Hx/Dentist?node-id=13-140700" TargetMode="External"/><Relationship Id="rId34" Type="http://schemas.openxmlformats.org/officeDocument/2006/relationships/hyperlink" Target="https://www.figma.com/design/dAKa9xPhXAuRKat5jGS8Hx/Dentist?node-id=13-155921" TargetMode="External"/><Relationship Id="rId35" Type="http://schemas.openxmlformats.org/officeDocument/2006/relationships/hyperlink" Target="https://www.figma.com/design/dAKa9xPhXAuRKat5jGS8Hx/Dentist?node-id=13-157732" TargetMode="External"/><Relationship Id="rId36" Type="http://schemas.openxmlformats.org/officeDocument/2006/relationships/hyperlink" Target="https://www.figma.com/design/dAKa9xPhXAuRKat5jGS8Hx/Dentist?node-id=13-157155" TargetMode="External"/><Relationship Id="rId37" Type="http://schemas.openxmlformats.org/officeDocument/2006/relationships/hyperlink" Target="https://www.figma.com/design/dAKa9xPhXAuRKat5jGS8Hx/Dentist?node-id=13-157426" TargetMode="External"/><Relationship Id="rId38" Type="http://schemas.openxmlformats.org/officeDocument/2006/relationships/hyperlink" Target="https://www.figma.com/design/dAKa9xPhXAuRKat5jGS8Hx/Dentist?node-id=13-156389" TargetMode="External"/><Relationship Id="rId39" Type="http://schemas.openxmlformats.org/officeDocument/2006/relationships/hyperlink" Target="https://www.figma.com/design/dAKa9xPhXAuRKat5jGS8Hx/Dentist?node-id=13-156587" TargetMode="External"/><Relationship Id="rId40" Type="http://schemas.openxmlformats.org/officeDocument/2006/relationships/hyperlink" Target="https://www.figma.com/design/dAKa9xPhXAuRKat5jGS8Hx/Dentist?node-id=13-156859" TargetMode="External"/><Relationship Id="rId41" Type="http://schemas.openxmlformats.org/officeDocument/2006/relationships/hyperlink" Target="https://www.figma.com/design/dAKa9xPhXAuRKat5jGS8Hx/Dentist?node-id=13-141151" TargetMode="External"/><Relationship Id="rId42" Type="http://schemas.openxmlformats.org/officeDocument/2006/relationships/hyperlink" Target="https://www.figma.com/design/dAKa9xPhXAuRKat5jGS8Hx/Dentist?node-id=13-141516" TargetMode="External"/><Relationship Id="rId43" Type="http://schemas.openxmlformats.org/officeDocument/2006/relationships/hyperlink" Target="https://www.figma.com/design/dAKa9xPhXAuRKat5jGS8Hx/Dentist?node-id=13-145779" TargetMode="External"/><Relationship Id="rId44" Type="http://schemas.openxmlformats.org/officeDocument/2006/relationships/hyperlink" Target="https://www.figma.com/design/dAKa9xPhXAuRKat5jGS8Hx/Dentist?node-id=13-141847" TargetMode="External"/><Relationship Id="rId45" Type="http://schemas.openxmlformats.org/officeDocument/2006/relationships/hyperlink" Target="https://www.figma.com/design/dAKa9xPhXAuRKat5jGS8Hx/Dentist?node-id=13-142254" TargetMode="External"/><Relationship Id="rId46" Type="http://schemas.openxmlformats.org/officeDocument/2006/relationships/hyperlink" Target="https://www.figma.com/design/dAKa9xPhXAuRKat5jGS8Hx/Dentist?node-id=13-142687" TargetMode="External"/><Relationship Id="rId47" Type="http://schemas.openxmlformats.org/officeDocument/2006/relationships/hyperlink" Target="https://www.figma.com/design/dAKa9xPhXAuRKat5jGS8Hx/Dentist?node-id=13-143148" TargetMode="External"/><Relationship Id="rId48" Type="http://schemas.openxmlformats.org/officeDocument/2006/relationships/hyperlink" Target="https://www.figma.com/design/dAKa9xPhXAuRKat5jGS8Hx/Dentist?node-id=13-144315" TargetMode="External"/><Relationship Id="rId49" Type="http://schemas.openxmlformats.org/officeDocument/2006/relationships/hyperlink" Target="https://www.figma.com/design/dAKa9xPhXAuRKat5jGS8Hx/Dentist?node-id=13-143507" TargetMode="External"/><Relationship Id="rId50" Type="http://schemas.openxmlformats.org/officeDocument/2006/relationships/hyperlink" Target="https://www.figma.com/design/dAKa9xPhXAuRKat5jGS8Hx/Dentist?node-id=13-143879" TargetMode="External"/><Relationship Id="rId51" Type="http://schemas.openxmlformats.org/officeDocument/2006/relationships/hyperlink" Target="https://www.figma.com/design/dAKa9xPhXAuRKat5jGS8Hx/Dentist?node-id=13-148821" TargetMode="External"/><Relationship Id="rId52" Type="http://schemas.openxmlformats.org/officeDocument/2006/relationships/hyperlink" Target="https://www.figma.com/design/dAKa9xPhXAuRKat5jGS8Hx/Dentist?node-id=13-148522" TargetMode="External"/><Relationship Id="rId53" Type="http://schemas.openxmlformats.org/officeDocument/2006/relationships/hyperlink" Target="https://www.figma.com/design/dAKa9xPhXAuRKat5jGS8Hx/Dentist?node-id=13-146435" TargetMode="External"/><Relationship Id="rId54" Type="http://schemas.openxmlformats.org/officeDocument/2006/relationships/hyperlink" Target="https://www.figma.com/design/dAKa9xPhXAuRKat5jGS8Hx/Dentist?node-id=13-146746" TargetMode="External"/><Relationship Id="rId55" Type="http://schemas.openxmlformats.org/officeDocument/2006/relationships/hyperlink" Target="https://www.figma.com/design/dAKa9xPhXAuRKat5jGS8Hx/Dentist?node-id=13-148111" TargetMode="External"/><Relationship Id="rId56" Type="http://schemas.openxmlformats.org/officeDocument/2006/relationships/hyperlink" Target="https://www.figma.com/design/dAKa9xPhXAuRKat5jGS8Hx/Dentist?node-id=13-149913" TargetMode="External"/><Relationship Id="rId57" Type="http://schemas.openxmlformats.org/officeDocument/2006/relationships/hyperlink" Target="https://www.figma.com/design/dAKa9xPhXAuRKat5jGS8Hx/Dentist?node-id=13-150034" TargetMode="External"/><Relationship Id="rId58" Type="http://schemas.openxmlformats.org/officeDocument/2006/relationships/hyperlink" Target="https://www.figma.com/design/dAKa9xPhXAuRKat5jGS8Hx/Dentist?node-id=13-150329" TargetMode="External"/><Relationship Id="rId59" Type="http://schemas.openxmlformats.org/officeDocument/2006/relationships/hyperlink" Target="https://www.figma.com/design/dAKa9xPhXAuRKat5jGS8Hx/Dentist?node-id=13-150598" TargetMode="External"/><Relationship Id="rId60" Type="http://schemas.openxmlformats.org/officeDocument/2006/relationships/hyperlink" Target="https://www.figma.com/design/dAKa9xPhXAuRKat5jGS8Hx/Dentist?node-id=13-150880" TargetMode="External"/><Relationship Id="rId61" Type="http://schemas.openxmlformats.org/officeDocument/2006/relationships/hyperlink" Target="https://www.figma.com/design/dAKa9xPhXAuRKat5jGS8Hx/Dentist?node-id=13-151221" TargetMode="External"/><Relationship Id="rId62" Type="http://schemas.openxmlformats.org/officeDocument/2006/relationships/hyperlink" Target="https://www.figma.com/design/dAKa9xPhXAuRKat5jGS8Hx/Dentist?node-id=13-151595" TargetMode="External"/><Relationship Id="rId63" Type="http://schemas.openxmlformats.org/officeDocument/2006/relationships/hyperlink" Target="https://www.figma.com/design/dAKa9xPhXAuRKat5jGS8Hx/Dentist?node-id=13-151715" TargetMode="External"/><Relationship Id="rId64" Type="http://schemas.openxmlformats.org/officeDocument/2006/relationships/hyperlink" Target="https://www.figma.com/design/dAKa9xPhXAuRKat5jGS8Hx/Dentist?node-id=13-151872" TargetMode="External"/><Relationship Id="rId65" Type="http://schemas.openxmlformats.org/officeDocument/2006/relationships/hyperlink" Target="https://www.figma.com/design/dAKa9xPhXAuRKat5jGS8Hx/Dentist?node-id=13-152167" TargetMode="External"/><Relationship Id="rId66" Type="http://schemas.openxmlformats.org/officeDocument/2006/relationships/hyperlink" Target="https://www.figma.com/design/dAKa9xPhXAuRKat5jGS8Hx/Dentist?node-id=13-152023" TargetMode="External"/><Relationship Id="rId67" Type="http://schemas.openxmlformats.org/officeDocument/2006/relationships/hyperlink" Target="https://www.figma.com/design/dAKa9xPhXAuRKat5jGS8Hx/Dentist?node-id=13-152316" TargetMode="External"/><Relationship Id="rId68" Type="http://schemas.openxmlformats.org/officeDocument/2006/relationships/hyperlink" Target="https://www.figma.com/design/dAKa9xPhXAuRKat5jGS8Hx/Dentist?node-id=13-152489" TargetMode="External"/><Relationship Id="rId69" Type="http://schemas.openxmlformats.org/officeDocument/2006/relationships/hyperlink" Target="https://www.figma.com/design/dAKa9xPhXAuRKat5jGS8Hx/Dentist?node-id=13-152585" TargetMode="External"/><Relationship Id="rId70" Type="http://schemas.openxmlformats.org/officeDocument/2006/relationships/hyperlink" Target="https://www.figma.com/design/dAKa9xPhXAuRKat5jGS8Hx/Dentist?node-id=13-152696" TargetMode="External"/><Relationship Id="rId71" Type="http://schemas.openxmlformats.org/officeDocument/2006/relationships/hyperlink" Target="https://www.figma.com/design/dAKa9xPhXAuRKat5jGS8Hx/Dentist?node-id=13-152817" TargetMode="External"/><Relationship Id="rId72" Type="http://schemas.openxmlformats.org/officeDocument/2006/relationships/hyperlink" Target="https://www.figma.com/design/dAKa9xPhXAuRKat5jGS8Hx/Dentist?node-id=13-152939" TargetMode="External"/><Relationship Id="rId7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igma.com/design/dAKa9xPhXAuRKat5jGS8Hx/Dentist?node-id=13-153060" TargetMode="External"/><Relationship Id="rId2" Type="http://schemas.openxmlformats.org/officeDocument/2006/relationships/hyperlink" Target="https://www.figma.com/design/dAKa9xPhXAuRKat5jGS8Hx/Dentist?node-id=13-128294" TargetMode="External"/><Relationship Id="rId3" Type="http://schemas.openxmlformats.org/officeDocument/2006/relationships/hyperlink" Target="https://www.figma.com/design/dAKa9xPhXAuRKat5jGS8Hx/Dentist?node-id=13-128760" TargetMode="External"/><Relationship Id="rId4" Type="http://schemas.openxmlformats.org/officeDocument/2006/relationships/hyperlink" Target="https://www.figma.com/design/dAKa9xPhXAuRKat5jGS8Hx/Dentist?node-id=13-130942" TargetMode="External"/><Relationship Id="rId5" Type="http://schemas.openxmlformats.org/officeDocument/2006/relationships/hyperlink" Target="https://www.figma.com/design/dAKa9xPhXAuRKat5jGS8Hx/Dentist?node-id=13-129226" TargetMode="External"/><Relationship Id="rId6" Type="http://schemas.openxmlformats.org/officeDocument/2006/relationships/hyperlink" Target="https://www.figma.com/design/dAKa9xPhXAuRKat5jGS8Hx/Dentist?node-id=13-130013" TargetMode="External"/><Relationship Id="rId7" Type="http://schemas.openxmlformats.org/officeDocument/2006/relationships/hyperlink" Target="https://www.figma.com/design/dAKa9xPhXAuRKat5jGS8Hx/Dentist?node-id=13-131510" TargetMode="External"/><Relationship Id="rId8" Type="http://schemas.openxmlformats.org/officeDocument/2006/relationships/hyperlink" Target="https://www.figma.com/design/dAKa9xPhXAuRKat5jGS8Hx/Dentist?node-id=13-132073" TargetMode="External"/><Relationship Id="rId9" Type="http://schemas.openxmlformats.org/officeDocument/2006/relationships/hyperlink" Target="https://www.figma.com/design/dAKa9xPhXAuRKat5jGS8Hx/Dentist?node-id=13-132164" TargetMode="External"/><Relationship Id="rId10" Type="http://schemas.openxmlformats.org/officeDocument/2006/relationships/hyperlink" Target="https://www.figma.com/design/dAKa9xPhXAuRKat5jGS8Hx/Dentist?node-id=13-132259" TargetMode="External"/><Relationship Id="rId11" Type="http://schemas.openxmlformats.org/officeDocument/2006/relationships/hyperlink" Target="https://www.figma.com/design/dAKa9xPhXAuRKat5jGS8Hx/Dentist?node-id=13-132356" TargetMode="External"/><Relationship Id="rId12" Type="http://schemas.openxmlformats.org/officeDocument/2006/relationships/hyperlink" Target="https://www.figma.com/design/dAKa9xPhXAuRKat5jGS8Hx/Dentist?node-id=13-132448" TargetMode="External"/><Relationship Id="rId13" Type="http://schemas.openxmlformats.org/officeDocument/2006/relationships/hyperlink" Target="https://www.figma.com/design/dAKa9xPhXAuRKat5jGS8Hx/Dentist?node-id=13-132541" TargetMode="External"/><Relationship Id="rId14" Type="http://schemas.openxmlformats.org/officeDocument/2006/relationships/hyperlink" Target="https://www.figma.com/design/dAKa9xPhXAuRKat5jGS8Hx/Dentist?node-id=13-132632" TargetMode="External"/><Relationship Id="rId15" Type="http://schemas.openxmlformats.org/officeDocument/2006/relationships/hyperlink" Target="https://www.figma.com/design/dAKa9xPhXAuRKat5jGS8Hx/Dentist?node-id=13-132872" TargetMode="External"/><Relationship Id="rId16" Type="http://schemas.openxmlformats.org/officeDocument/2006/relationships/hyperlink" Target="https://www.figma.com/design/dAKa9xPhXAuRKat5jGS8Hx/Dentist?node-id=13-132929" TargetMode="External"/><Relationship Id="rId17" Type="http://schemas.openxmlformats.org/officeDocument/2006/relationships/hyperlink" Target="https://www.figma.com/design/dAKa9xPhXAuRKat5jGS8Hx/Dentist?node-id=13-133036" TargetMode="External"/><Relationship Id="rId18" Type="http://schemas.openxmlformats.org/officeDocument/2006/relationships/hyperlink" Target="https://www.figma.com/design/dAKa9xPhXAuRKat5jGS8Hx/Dentist?node-id=13-132740" TargetMode="External"/><Relationship Id="rId19" Type="http://schemas.openxmlformats.org/officeDocument/2006/relationships/hyperlink" Target="https://www.figma.com/design/dAKa9xPhXAuRKat5jGS8Hx/Dentist?node-id=13-134199" TargetMode="External"/><Relationship Id="rId20" Type="http://schemas.openxmlformats.org/officeDocument/2006/relationships/hyperlink" Target="https://www.figma.com/design/dAKa9xPhXAuRKat5jGS8Hx/Dentist?node-id=13-135232" TargetMode="External"/><Relationship Id="rId21" Type="http://schemas.openxmlformats.org/officeDocument/2006/relationships/hyperlink" Target="https://www.figma.com/design/dAKa9xPhXAuRKat5jGS8Hx/Dentist?node-id=13-135771" TargetMode="External"/><Relationship Id="rId22" Type="http://schemas.openxmlformats.org/officeDocument/2006/relationships/hyperlink" Target="https://www.figma.com/design/dAKa9xPhXAuRKat5jGS8Hx/Dentist?node-id=13-133126" TargetMode="External"/><Relationship Id="rId23" Type="http://schemas.openxmlformats.org/officeDocument/2006/relationships/hyperlink" Target="https://www.figma.com/design/dAKa9xPhXAuRKat5jGS8Hx/Dentist?node-id=13-133598" TargetMode="External"/><Relationship Id="rId24" Type="http://schemas.openxmlformats.org/officeDocument/2006/relationships/hyperlink" Target="https://www.figma.com/design/dAKa9xPhXAuRKat5jGS8Hx/Dentist?node-id=13-136289" TargetMode="External"/><Relationship Id="rId25" Type="http://schemas.openxmlformats.org/officeDocument/2006/relationships/hyperlink" Target="https://www.figma.com/design/dAKa9xPhXAuRKat5jGS8Hx/Dentist?node-id=13-134700" TargetMode="External"/><Relationship Id="rId26" Type="http://schemas.openxmlformats.org/officeDocument/2006/relationships/hyperlink" Target="https://www.figma.com/design/dAKa9xPhXAuRKat5jGS8Hx/Dentist?node-id=13-127531" TargetMode="External"/><Relationship Id="rId27" Type="http://schemas.openxmlformats.org/officeDocument/2006/relationships/hyperlink" Target="https://www.figma.com/design/dAKa9xPhXAuRKat5jGS8Hx/Dentist?node-id=13-136855" TargetMode="External"/><Relationship Id="rId28" Type="http://schemas.openxmlformats.org/officeDocument/2006/relationships/hyperlink" Target="https://www.figma.com/design/dAKa9xPhXAuRKat5jGS8Hx/Dentist?node-id=13-137709" TargetMode="External"/><Relationship Id="rId29" Type="http://schemas.openxmlformats.org/officeDocument/2006/relationships/hyperlink" Target="https://www.figma.com/design/dAKa9xPhXAuRKat5jGS8Hx/Dentist?node-id=13-153349" TargetMode="External"/><Relationship Id="rId30" Type="http://schemas.openxmlformats.org/officeDocument/2006/relationships/hyperlink" Target="https://www.figma.com/design/dAKa9xPhXAuRKat5jGS8Hx/Dentist?node-id=13-153947" TargetMode="External"/><Relationship Id="rId31" Type="http://schemas.openxmlformats.org/officeDocument/2006/relationships/hyperlink" Target="https://www.figma.com/design/dAKa9xPhXAuRKat5jGS8Hx/Dentist?node-id=13-154392" TargetMode="External"/><Relationship Id="rId32" Type="http://schemas.openxmlformats.org/officeDocument/2006/relationships/hyperlink" Target="https://www.figma.com/design/dAKa9xPhXAuRKat5jGS8Hx/Dentist?node-id=13-154915" TargetMode="External"/><Relationship Id="rId33" Type="http://schemas.openxmlformats.org/officeDocument/2006/relationships/hyperlink" Target="https://www.figma.com/design/dAKa9xPhXAuRKat5jGS8Hx/Dentist?node-id=13-155469" TargetMode="External"/><Relationship Id="rId34" Type="http://schemas.openxmlformats.org/officeDocument/2006/relationships/hyperlink" Target="https://www.figma.com/design/dAKa9xPhXAuRKat5jGS8Hx/Dentist?node-id=13-138102" TargetMode="External"/><Relationship Id="rId35" Type="http://schemas.openxmlformats.org/officeDocument/2006/relationships/hyperlink" Target="https://www.figma.com/design/dAKa9xPhXAuRKat5jGS8Hx/Dentist?node-id=13-138389" TargetMode="External"/><Relationship Id="rId36" Type="http://schemas.openxmlformats.org/officeDocument/2006/relationships/hyperlink" Target="https://www.figma.com/design/dAKa9xPhXAuRKat5jGS8Hx/Dentist?node-id=13-138679" TargetMode="External"/><Relationship Id="rId37" Type="http://schemas.openxmlformats.org/officeDocument/2006/relationships/hyperlink" Target="https://www.figma.com/design/dAKa9xPhXAuRKat5jGS8Hx/Dentist?node-id=13-138977" TargetMode="External"/><Relationship Id="rId38" Type="http://schemas.openxmlformats.org/officeDocument/2006/relationships/hyperlink" Target="https://www.figma.com/design/dAKa9xPhXAuRKat5jGS8Hx/Dentist?node-id=13-139877" TargetMode="External"/><Relationship Id="rId39" Type="http://schemas.openxmlformats.org/officeDocument/2006/relationships/hyperlink" Target="https://www.figma.com/design/dAKa9xPhXAuRKat5jGS8Hx/Dentist?node-id=13-139308" TargetMode="External"/><Relationship Id="rId40" Type="http://schemas.openxmlformats.org/officeDocument/2006/relationships/hyperlink" Target="https://www.figma.com/design/dAKa9xPhXAuRKat5jGS8Hx/Dentist?node-id=13-140373" TargetMode="External"/><Relationship Id="rId41" Type="http://schemas.openxmlformats.org/officeDocument/2006/relationships/hyperlink" Target="https://www.figma.com/design/dAKa9xPhXAuRKat5jGS8Hx/Dentist?node-id=13-140700" TargetMode="External"/><Relationship Id="rId42" Type="http://schemas.openxmlformats.org/officeDocument/2006/relationships/hyperlink" Target="https://www.figma.com/design/dAKa9xPhXAuRKat5jGS8Hx/Dentist?node-id=13-155921" TargetMode="External"/><Relationship Id="rId43" Type="http://schemas.openxmlformats.org/officeDocument/2006/relationships/hyperlink" Target="https://www.figma.com/design/dAKa9xPhXAuRKat5jGS8Hx/Dentist?node-id=13-157732" TargetMode="External"/><Relationship Id="rId44" Type="http://schemas.openxmlformats.org/officeDocument/2006/relationships/hyperlink" Target="https://www.figma.com/design/dAKa9xPhXAuRKat5jGS8Hx/Dentist?node-id=13-157964" TargetMode="External"/><Relationship Id="rId45" Type="http://schemas.openxmlformats.org/officeDocument/2006/relationships/hyperlink" Target="https://www.figma.com/design/dAKa9xPhXAuRKat5jGS8Hx/Dentist?node-id=13-157155" TargetMode="External"/><Relationship Id="rId46" Type="http://schemas.openxmlformats.org/officeDocument/2006/relationships/hyperlink" Target="https://www.figma.com/design/dAKa9xPhXAuRKat5jGS8Hx/Dentist?node-id=13-157426" TargetMode="External"/><Relationship Id="rId47" Type="http://schemas.openxmlformats.org/officeDocument/2006/relationships/hyperlink" Target="https://www.figma.com/design/dAKa9xPhXAuRKat5jGS8Hx/Dentist?node-id=13-156389" TargetMode="External"/><Relationship Id="rId48" Type="http://schemas.openxmlformats.org/officeDocument/2006/relationships/hyperlink" Target="https://www.figma.com/design/dAKa9xPhXAuRKat5jGS8Hx/Dentist?node-id=13-156587" TargetMode="External"/><Relationship Id="rId49" Type="http://schemas.openxmlformats.org/officeDocument/2006/relationships/hyperlink" Target="https://www.figma.com/design/dAKa9xPhXAuRKat5jGS8Hx/Dentist?node-id=13-156859" TargetMode="External"/><Relationship Id="rId50" Type="http://schemas.openxmlformats.org/officeDocument/2006/relationships/hyperlink" Target="https://www.figma.com/design/dAKa9xPhXAuRKat5jGS8Hx/Dentist?node-id=13-141151" TargetMode="External"/><Relationship Id="rId51" Type="http://schemas.openxmlformats.org/officeDocument/2006/relationships/hyperlink" Target="https://www.figma.com/design/dAKa9xPhXAuRKat5jGS8Hx/Dentist?node-id=13-141516" TargetMode="External"/><Relationship Id="rId52" Type="http://schemas.openxmlformats.org/officeDocument/2006/relationships/hyperlink" Target="https://www.figma.com/design/dAKa9xPhXAuRKat5jGS8Hx/Dentist?node-id=13-145779" TargetMode="External"/><Relationship Id="rId53" Type="http://schemas.openxmlformats.org/officeDocument/2006/relationships/hyperlink" Target="https://www.figma.com/design/dAKa9xPhXAuRKat5jGS8Hx/Dentist?node-id=13-141847" TargetMode="External"/><Relationship Id="rId54" Type="http://schemas.openxmlformats.org/officeDocument/2006/relationships/hyperlink" Target="https://www.figma.com/design/dAKa9xPhXAuRKat5jGS8Hx/Dentist?node-id=13-142254" TargetMode="External"/><Relationship Id="rId55" Type="http://schemas.openxmlformats.org/officeDocument/2006/relationships/hyperlink" Target="https://www.figma.com/design/dAKa9xPhXAuRKat5jGS8Hx/Dentist?node-id=13-142687" TargetMode="External"/><Relationship Id="rId56" Type="http://schemas.openxmlformats.org/officeDocument/2006/relationships/hyperlink" Target="https://www.figma.com/design/dAKa9xPhXAuRKat5jGS8Hx/Dentist?node-id=13-143148" TargetMode="External"/><Relationship Id="rId57" Type="http://schemas.openxmlformats.org/officeDocument/2006/relationships/hyperlink" Target="https://www.figma.com/design/dAKa9xPhXAuRKat5jGS8Hx/Dentist?node-id=13-144315" TargetMode="External"/><Relationship Id="rId58" Type="http://schemas.openxmlformats.org/officeDocument/2006/relationships/hyperlink" Target="https://www.figma.com/design/dAKa9xPhXAuRKat5jGS8Hx/Dentist?node-id=13-144779" TargetMode="External"/><Relationship Id="rId59" Type="http://schemas.openxmlformats.org/officeDocument/2006/relationships/hyperlink" Target="https://www.figma.com/design/dAKa9xPhXAuRKat5jGS8Hx/Dentist?node-id=13-145266" TargetMode="External"/><Relationship Id="rId60" Type="http://schemas.openxmlformats.org/officeDocument/2006/relationships/hyperlink" Target="https://www.figma.com/design/dAKa9xPhXAuRKat5jGS8Hx/Dentist?node-id=13-143507" TargetMode="External"/><Relationship Id="rId61" Type="http://schemas.openxmlformats.org/officeDocument/2006/relationships/hyperlink" Target="https://www.figma.com/design/dAKa9xPhXAuRKat5jGS8Hx/Dentist?node-id=13-143879" TargetMode="External"/><Relationship Id="rId62" Type="http://schemas.openxmlformats.org/officeDocument/2006/relationships/hyperlink" Target="https://www.figma.com/design/dAKa9xPhXAuRKat5jGS8Hx/Dentist?node-id=13-148821" TargetMode="External"/><Relationship Id="rId63" Type="http://schemas.openxmlformats.org/officeDocument/2006/relationships/hyperlink" Target="https://www.figma.com/design/dAKa9xPhXAuRKat5jGS8Hx/Dentist?node-id=13-146137" TargetMode="External"/><Relationship Id="rId64" Type="http://schemas.openxmlformats.org/officeDocument/2006/relationships/hyperlink" Target="https://www.figma.com/design/dAKa9xPhXAuRKat5jGS8Hx/Dentist?node-id=13-148522" TargetMode="External"/><Relationship Id="rId65" Type="http://schemas.openxmlformats.org/officeDocument/2006/relationships/hyperlink" Target="https://www.figma.com/design/dAKa9xPhXAuRKat5jGS8Hx/Dentist?node-id=13-147724" TargetMode="External"/><Relationship Id="rId66" Type="http://schemas.openxmlformats.org/officeDocument/2006/relationships/hyperlink" Target="https://www.figma.com/design/dAKa9xPhXAuRKat5jGS8Hx/Dentist?node-id=13-146435" TargetMode="External"/><Relationship Id="rId67" Type="http://schemas.openxmlformats.org/officeDocument/2006/relationships/hyperlink" Target="https://www.figma.com/design/dAKa9xPhXAuRKat5jGS8Hx/Dentist?node-id=13-146746" TargetMode="External"/><Relationship Id="rId68" Type="http://schemas.openxmlformats.org/officeDocument/2006/relationships/hyperlink" Target="https://www.figma.com/design/dAKa9xPhXAuRKat5jGS8Hx/Dentist?node-id=13-147017" TargetMode="External"/><Relationship Id="rId69" Type="http://schemas.openxmlformats.org/officeDocument/2006/relationships/hyperlink" Target="https://www.figma.com/design/dAKa9xPhXAuRKat5jGS8Hx/Dentist?node-id=13-147382" TargetMode="External"/><Relationship Id="rId70" Type="http://schemas.openxmlformats.org/officeDocument/2006/relationships/hyperlink" Target="https://www.figma.com/design/dAKa9xPhXAuRKat5jGS8Hx/Dentist?node-id=13-148111" TargetMode="External"/><Relationship Id="rId71" Type="http://schemas.openxmlformats.org/officeDocument/2006/relationships/hyperlink" Target="https://www.figma.com/design/dAKa9xPhXAuRKat5jGS8Hx/Dentist?node-id=13-149069" TargetMode="External"/><Relationship Id="rId72" Type="http://schemas.openxmlformats.org/officeDocument/2006/relationships/hyperlink" Target="https://www.figma.com/design/dAKa9xPhXAuRKat5jGS8Hx/Dentist?node-id=13-149490" TargetMode="External"/><Relationship Id="rId73" Type="http://schemas.openxmlformats.org/officeDocument/2006/relationships/hyperlink" Target="https://www.figma.com/design/dAKa9xPhXAuRKat5jGS8Hx/Dentist?node-id=13-149913" TargetMode="External"/><Relationship Id="rId74" Type="http://schemas.openxmlformats.org/officeDocument/2006/relationships/hyperlink" Target="https://www.figma.com/design/dAKa9xPhXAuRKat5jGS8Hx/Dentist?node-id=13-150034" TargetMode="External"/><Relationship Id="rId75" Type="http://schemas.openxmlformats.org/officeDocument/2006/relationships/hyperlink" Target="https://www.figma.com/design/dAKa9xPhXAuRKat5jGS8Hx/Dentist?node-id=13-150329" TargetMode="External"/><Relationship Id="rId76" Type="http://schemas.openxmlformats.org/officeDocument/2006/relationships/hyperlink" Target="https://www.figma.com/design/dAKa9xPhXAuRKat5jGS8Hx/Dentist?node-id=13-150598" TargetMode="External"/><Relationship Id="rId77" Type="http://schemas.openxmlformats.org/officeDocument/2006/relationships/hyperlink" Target="https://www.figma.com/design/dAKa9xPhXAuRKat5jGS8Hx/Dentist?node-id=13-150880" TargetMode="External"/><Relationship Id="rId78" Type="http://schemas.openxmlformats.org/officeDocument/2006/relationships/hyperlink" Target="https://www.figma.com/design/dAKa9xPhXAuRKat5jGS8Hx/Dentist?node-id=13-151221" TargetMode="External"/><Relationship Id="rId79" Type="http://schemas.openxmlformats.org/officeDocument/2006/relationships/hyperlink" Target="https://www.figma.com/design/dAKa9xPhXAuRKat5jGS8Hx/Dentist?node-id=13-151595" TargetMode="External"/><Relationship Id="rId80" Type="http://schemas.openxmlformats.org/officeDocument/2006/relationships/hyperlink" Target="https://www.figma.com/design/dAKa9xPhXAuRKat5jGS8Hx/Dentist?node-id=13-151715" TargetMode="External"/><Relationship Id="rId81" Type="http://schemas.openxmlformats.org/officeDocument/2006/relationships/hyperlink" Target="https://www.figma.com/design/dAKa9xPhXAuRKat5jGS8Hx/Dentist?node-id=13-151872" TargetMode="External"/><Relationship Id="rId82" Type="http://schemas.openxmlformats.org/officeDocument/2006/relationships/hyperlink" Target="https://www.figma.com/design/dAKa9xPhXAuRKat5jGS8Hx/Dentist?node-id=13-152167" TargetMode="External"/><Relationship Id="rId83" Type="http://schemas.openxmlformats.org/officeDocument/2006/relationships/hyperlink" Target="https://www.figma.com/design/dAKa9xPhXAuRKat5jGS8Hx/Dentist?node-id=13-152023" TargetMode="External"/><Relationship Id="rId84" Type="http://schemas.openxmlformats.org/officeDocument/2006/relationships/hyperlink" Target="https://www.figma.com/design/dAKa9xPhXAuRKat5jGS8Hx/Dentist?node-id=13-152316" TargetMode="External"/><Relationship Id="rId85" Type="http://schemas.openxmlformats.org/officeDocument/2006/relationships/hyperlink" Target="https://www.figma.com/design/dAKa9xPhXAuRKat5jGS8Hx/Dentist?node-id=13-152489" TargetMode="External"/><Relationship Id="rId86" Type="http://schemas.openxmlformats.org/officeDocument/2006/relationships/hyperlink" Target="https://www.figma.com/design/dAKa9xPhXAuRKat5jGS8Hx/Dentist?node-id=13-152585" TargetMode="External"/><Relationship Id="rId87" Type="http://schemas.openxmlformats.org/officeDocument/2006/relationships/hyperlink" Target="https://www.figma.com/design/dAKa9xPhXAuRKat5jGS8Hx/Dentist?node-id=13-152696" TargetMode="External"/><Relationship Id="rId88" Type="http://schemas.openxmlformats.org/officeDocument/2006/relationships/hyperlink" Target="https://www.figma.com/design/dAKa9xPhXAuRKat5jGS8Hx/Dentist?node-id=13-152817" TargetMode="External"/><Relationship Id="rId89" Type="http://schemas.openxmlformats.org/officeDocument/2006/relationships/hyperlink" Target="https://www.figma.com/design/dAKa9xPhXAuRKat5jGS8Hx/Dentist?node-id=13-152939" TargetMode="External"/><Relationship Id="rId9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42" min="13" style="0" width="6.5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M4" s="4" t="n">
        <f aca="false">ProjectStart-WEEKDAY(ProjectStart,3)+7*0</f>
        <v>46314</v>
      </c>
      <c r="N4" s="4" t="n">
        <f aca="false">ProjectStart-WEEKDAY(ProjectStart,3)+7*1</f>
        <v>46321</v>
      </c>
      <c r="O4" s="4" t="n">
        <f aca="false">ProjectStart-WEEKDAY(ProjectStart,3)+7*2</f>
        <v>46328</v>
      </c>
      <c r="P4" s="4" t="n">
        <f aca="false">ProjectStart-WEEKDAY(ProjectStart,3)+7*3</f>
        <v>46335</v>
      </c>
      <c r="Q4" s="4" t="n">
        <f aca="false">ProjectStart-WEEKDAY(ProjectStart,3)+7*4</f>
        <v>46342</v>
      </c>
      <c r="R4" s="4" t="n">
        <f aca="false">ProjectStart-WEEKDAY(ProjectStart,3)+7*5</f>
        <v>46349</v>
      </c>
      <c r="S4" s="4" t="n">
        <f aca="false">ProjectStart-WEEKDAY(ProjectStart,3)+7*6</f>
        <v>46356</v>
      </c>
      <c r="T4" s="4" t="n">
        <f aca="false">ProjectStart-WEEKDAY(ProjectStart,3)+7*7</f>
        <v>46363</v>
      </c>
      <c r="U4" s="4" t="n">
        <f aca="false">ProjectStart-WEEKDAY(ProjectStart,3)+7*8</f>
        <v>46370</v>
      </c>
      <c r="V4" s="4" t="n">
        <f aca="false">ProjectStart-WEEKDAY(ProjectStart,3)+7*9</f>
        <v>46377</v>
      </c>
      <c r="W4" s="4" t="n">
        <f aca="false">ProjectStart-WEEKDAY(ProjectStart,3)+7*10</f>
        <v>46384</v>
      </c>
      <c r="X4" s="4" t="n">
        <f aca="false">ProjectStart-WEEKDAY(ProjectStart,3)+7*11</f>
        <v>46391</v>
      </c>
      <c r="Y4" s="4" t="n">
        <f aca="false">ProjectStart-WEEKDAY(ProjectStart,3)+7*12</f>
        <v>46398</v>
      </c>
      <c r="Z4" s="4" t="n">
        <f aca="false">ProjectStart-WEEKDAY(ProjectStart,3)+7*13</f>
        <v>46405</v>
      </c>
      <c r="AA4" s="4" t="n">
        <f aca="false">ProjectStart-WEEKDAY(ProjectStart,3)+7*14</f>
        <v>46412</v>
      </c>
      <c r="AB4" s="4" t="n">
        <f aca="false">ProjectStart-WEEKDAY(ProjectStart,3)+7*15</f>
        <v>46419</v>
      </c>
      <c r="AC4" s="4" t="n">
        <f aca="false">ProjectStart-WEEKDAY(ProjectStart,3)+7*16</f>
        <v>46426</v>
      </c>
      <c r="AD4" s="4" t="n">
        <f aca="false">ProjectStart-WEEKDAY(ProjectStart,3)+7*17</f>
        <v>46433</v>
      </c>
      <c r="AE4" s="4" t="n">
        <f aca="false">ProjectStart-WEEKDAY(ProjectStart,3)+7*18</f>
        <v>46440</v>
      </c>
      <c r="AF4" s="4" t="n">
        <f aca="false">ProjectStart-WEEKDAY(ProjectStart,3)+7*19</f>
        <v>46447</v>
      </c>
      <c r="AG4" s="4" t="n">
        <f aca="false">ProjectStart-WEEKDAY(ProjectStart,3)+7*20</f>
        <v>46454</v>
      </c>
      <c r="AH4" s="4" t="n">
        <f aca="false">ProjectStart-WEEKDAY(ProjectStart,3)+7*21</f>
        <v>46461</v>
      </c>
      <c r="AI4" s="4" t="n">
        <f aca="false">ProjectStart-WEEKDAY(ProjectStart,3)+7*22</f>
        <v>46468</v>
      </c>
      <c r="AJ4" s="4" t="n">
        <f aca="false">ProjectStart-WEEKDAY(ProjectStart,3)+7*23</f>
        <v>46475</v>
      </c>
      <c r="AK4" s="4" t="n">
        <f aca="false">ProjectStart-WEEKDAY(ProjectStart,3)+7*24</f>
        <v>46482</v>
      </c>
      <c r="AL4" s="4" t="n">
        <f aca="false">ProjectStart-WEEKDAY(ProjectStart,3)+7*25</f>
        <v>46489</v>
      </c>
      <c r="AM4" s="4" t="n">
        <f aca="false">ProjectStart-WEEKDAY(ProjectStart,3)+7*26</f>
        <v>46496</v>
      </c>
      <c r="AN4" s="4" t="n">
        <f aca="false">ProjectStart-WEEKDAY(ProjectStart,3)+7*27</f>
        <v>46503</v>
      </c>
      <c r="AO4" s="4" t="n">
        <f aca="false">ProjectStart-WEEKDAY(ProjectStart,3)+7*28</f>
        <v>46510</v>
      </c>
      <c r="AP4" s="4" t="n">
        <f aca="false">ProjectStart-WEEKDAY(ProjectStart,3)+7*29</f>
        <v>46517</v>
      </c>
    </row>
    <row r="5" customFormat="false" ht="15" hidden="false" customHeight="false" outlineLevel="0" collapsed="false">
      <c r="A5" s="5" t="s">
        <v>13</v>
      </c>
      <c r="B5" s="6" t="s">
        <v>14</v>
      </c>
      <c r="C5" s="7" t="s">
        <v>15</v>
      </c>
      <c r="D5" s="8" t="s">
        <v>16</v>
      </c>
      <c r="E5" s="9" t="n">
        <f aca="false">WORKDAY(ProjectStart-1,1,Holidays)</f>
        <v>46314</v>
      </c>
      <c r="F5" s="9" t="n">
        <f aca="false">_xlfn.MAXIFS('Dev Task List'!$L:$L,'Dev Task List'!$B:$B,A5)</f>
        <v>46324</v>
      </c>
      <c r="G5" s="7" t="n">
        <f aca="false">NETWORKDAYS(E5,F5,Holidays)</f>
        <v>9</v>
      </c>
      <c r="H5" s="7" t="n">
        <f aca="false">COUNTIF('Dev Task List'!$B:$B,A5)</f>
        <v>5</v>
      </c>
      <c r="I5" s="7" t="n">
        <f aca="false">SUMIF('Dev Task List'!$B:$B,A5,'Dev Task List'!$G:$G)</f>
        <v>0</v>
      </c>
      <c r="J5" s="7" t="n">
        <f aca="false">COUNTIFS('Dev Task List'!$B:$B,A5,'Dev Task List'!$N:$N,"Done")</f>
        <v>0</v>
      </c>
      <c r="K5" s="10" t="n">
        <f aca="false">IF(H5=0,0,J5/H5)</f>
        <v>0</v>
      </c>
      <c r="M5" s="11" t="n">
        <f aca="false">IF(AND($E5&lt;=M$4+6,$F5&gt;=M$4),1,0)</f>
        <v>1</v>
      </c>
      <c r="N5" s="11" t="n">
        <f aca="false">IF(AND($E5&lt;=N$4+6,$F5&gt;=N$4),1,0)</f>
        <v>1</v>
      </c>
      <c r="O5" s="11" t="n">
        <f aca="false">IF(AND($E5&lt;=O$4+6,$F5&gt;=O$4),1,0)</f>
        <v>0</v>
      </c>
      <c r="P5" s="11" t="n">
        <f aca="false">IF(AND($E5&lt;=P$4+6,$F5&gt;=P$4),1,0)</f>
        <v>0</v>
      </c>
      <c r="Q5" s="11" t="n">
        <f aca="false">IF(AND($E5&lt;=Q$4+6,$F5&gt;=Q$4),1,0)</f>
        <v>0</v>
      </c>
      <c r="R5" s="11" t="n">
        <f aca="false">IF(AND($E5&lt;=R$4+6,$F5&gt;=R$4),1,0)</f>
        <v>0</v>
      </c>
      <c r="S5" s="11" t="n">
        <f aca="false">IF(AND($E5&lt;=S$4+6,$F5&gt;=S$4),1,0)</f>
        <v>0</v>
      </c>
      <c r="T5" s="11" t="n">
        <f aca="false">IF(AND($E5&lt;=T$4+6,$F5&gt;=T$4),1,0)</f>
        <v>0</v>
      </c>
      <c r="U5" s="11" t="n">
        <f aca="false">IF(AND($E5&lt;=U$4+6,$F5&gt;=U$4),1,0)</f>
        <v>0</v>
      </c>
      <c r="V5" s="11" t="n">
        <f aca="false">IF(AND($E5&lt;=V$4+6,$F5&gt;=V$4),1,0)</f>
        <v>0</v>
      </c>
      <c r="W5" s="11" t="n">
        <f aca="false">IF(AND($E5&lt;=W$4+6,$F5&gt;=W$4),1,0)</f>
        <v>0</v>
      </c>
      <c r="X5" s="11" t="n">
        <f aca="false">IF(AND($E5&lt;=X$4+6,$F5&gt;=X$4),1,0)</f>
        <v>0</v>
      </c>
      <c r="Y5" s="11" t="n">
        <f aca="false">IF(AND($E5&lt;=Y$4+6,$F5&gt;=Y$4),1,0)</f>
        <v>0</v>
      </c>
      <c r="Z5" s="11" t="n">
        <f aca="false">IF(AND($E5&lt;=Z$4+6,$F5&gt;=Z$4),1,0)</f>
        <v>0</v>
      </c>
      <c r="AA5" s="11" t="n">
        <f aca="false">IF(AND($E5&lt;=AA$4+6,$F5&gt;=AA$4),1,0)</f>
        <v>0</v>
      </c>
      <c r="AB5" s="11" t="n">
        <f aca="false">IF(AND($E5&lt;=AB$4+6,$F5&gt;=AB$4),1,0)</f>
        <v>0</v>
      </c>
      <c r="AC5" s="11" t="n">
        <f aca="false">IF(AND($E5&lt;=AC$4+6,$F5&gt;=AC$4),1,0)</f>
        <v>0</v>
      </c>
      <c r="AD5" s="11" t="n">
        <f aca="false">IF(AND($E5&lt;=AD$4+6,$F5&gt;=AD$4),1,0)</f>
        <v>0</v>
      </c>
      <c r="AE5" s="11" t="n">
        <f aca="false">IF(AND($E5&lt;=AE$4+6,$F5&gt;=AE$4),1,0)</f>
        <v>0</v>
      </c>
      <c r="AF5" s="11" t="n">
        <f aca="false">IF(AND($E5&lt;=AF$4+6,$F5&gt;=AF$4),1,0)</f>
        <v>0</v>
      </c>
      <c r="AG5" s="11" t="n">
        <f aca="false">IF(AND($E5&lt;=AG$4+6,$F5&gt;=AG$4),1,0)</f>
        <v>0</v>
      </c>
      <c r="AH5" s="11" t="n">
        <f aca="false">IF(AND($E5&lt;=AH$4+6,$F5&gt;=AH$4),1,0)</f>
        <v>0</v>
      </c>
      <c r="AI5" s="11" t="n">
        <f aca="false">IF(AND($E5&lt;=AI$4+6,$F5&gt;=AI$4),1,0)</f>
        <v>0</v>
      </c>
      <c r="AJ5" s="11" t="n">
        <f aca="false">IF(AND($E5&lt;=AJ$4+6,$F5&gt;=AJ$4),1,0)</f>
        <v>0</v>
      </c>
      <c r="AK5" s="11" t="n">
        <f aca="false">IF(AND($E5&lt;=AK$4+6,$F5&gt;=AK$4),1,0)</f>
        <v>0</v>
      </c>
      <c r="AL5" s="11" t="n">
        <f aca="false">IF(AND($E5&lt;=AL$4+6,$F5&gt;=AL$4),1,0)</f>
        <v>0</v>
      </c>
      <c r="AM5" s="11" t="n">
        <f aca="false">IF(AND($E5&lt;=AM$4+6,$F5&gt;=AM$4),1,0)</f>
        <v>0</v>
      </c>
      <c r="AN5" s="11" t="n">
        <f aca="false">IF(AND($E5&lt;=AN$4+6,$F5&gt;=AN$4),1,0)</f>
        <v>0</v>
      </c>
      <c r="AO5" s="11" t="n">
        <f aca="false">IF(AND($E5&lt;=AO$4+6,$F5&gt;=AO$4),1,0)</f>
        <v>0</v>
      </c>
      <c r="AP5" s="11" t="n">
        <f aca="false">IF(AND($E5&lt;=AP$4+6,$F5&gt;=AP$4),1,0)</f>
        <v>0</v>
      </c>
    </row>
    <row r="6" customFormat="false" ht="15" hidden="false" customHeight="false" outlineLevel="0" collapsed="false">
      <c r="A6" s="12" t="s">
        <v>17</v>
      </c>
      <c r="B6" s="13" t="s">
        <v>18</v>
      </c>
      <c r="C6" s="7" t="s">
        <v>15</v>
      </c>
      <c r="D6" s="8" t="s">
        <v>19</v>
      </c>
      <c r="E6" s="9" t="n">
        <f aca="false">WORKDAY(F5,1,Holidays)</f>
        <v>46325</v>
      </c>
      <c r="F6" s="9" t="n">
        <f aca="false">_xlfn.MAXIFS('Dev Task List'!$L:$L,'Dev Task List'!$B:$B,A6)</f>
        <v>46385</v>
      </c>
      <c r="G6" s="7" t="n">
        <f aca="false">NETWORKDAYS(E6,F6,Holidays)</f>
        <v>38</v>
      </c>
      <c r="H6" s="7" t="n">
        <f aca="false">COUNTIF('Dev Task List'!$B:$B,A6)</f>
        <v>20</v>
      </c>
      <c r="I6" s="7" t="n">
        <f aca="false">SUMIF('Dev Task List'!$B:$B,A6,'Dev Task List'!$G:$G)</f>
        <v>26</v>
      </c>
      <c r="J6" s="7" t="n">
        <f aca="false">COUNTIFS('Dev Task List'!$B:$B,A6,'Dev Task List'!$N:$N,"Done")</f>
        <v>0</v>
      </c>
      <c r="K6" s="10" t="n">
        <f aca="false">IF(H6=0,0,J6/H6)</f>
        <v>0</v>
      </c>
      <c r="M6" s="11" t="n">
        <f aca="false">IF(AND($E6&lt;=M$4+6,$F6&gt;=M$4),1,0)</f>
        <v>0</v>
      </c>
      <c r="N6" s="11" t="n">
        <f aca="false">IF(AND($E6&lt;=N$4+6,$F6&gt;=N$4),1,0)</f>
        <v>1</v>
      </c>
      <c r="O6" s="11" t="n">
        <f aca="false">IF(AND($E6&lt;=O$4+6,$F6&gt;=O$4),1,0)</f>
        <v>1</v>
      </c>
      <c r="P6" s="11" t="n">
        <f aca="false">IF(AND($E6&lt;=P$4+6,$F6&gt;=P$4),1,0)</f>
        <v>1</v>
      </c>
      <c r="Q6" s="11" t="n">
        <f aca="false">IF(AND($E6&lt;=Q$4+6,$F6&gt;=Q$4),1,0)</f>
        <v>1</v>
      </c>
      <c r="R6" s="11" t="n">
        <f aca="false">IF(AND($E6&lt;=R$4+6,$F6&gt;=R$4),1,0)</f>
        <v>1</v>
      </c>
      <c r="S6" s="11" t="n">
        <f aca="false">IF(AND($E6&lt;=S$4+6,$F6&gt;=S$4),1,0)</f>
        <v>1</v>
      </c>
      <c r="T6" s="11" t="n">
        <f aca="false">IF(AND($E6&lt;=T$4+6,$F6&gt;=T$4),1,0)</f>
        <v>1</v>
      </c>
      <c r="U6" s="11" t="n">
        <f aca="false">IF(AND($E6&lt;=U$4+6,$F6&gt;=U$4),1,0)</f>
        <v>1</v>
      </c>
      <c r="V6" s="11" t="n">
        <f aca="false">IF(AND($E6&lt;=V$4+6,$F6&gt;=V$4),1,0)</f>
        <v>1</v>
      </c>
      <c r="W6" s="11" t="n">
        <f aca="false">IF(AND($E6&lt;=W$4+6,$F6&gt;=W$4),1,0)</f>
        <v>1</v>
      </c>
      <c r="X6" s="11" t="n">
        <f aca="false">IF(AND($E6&lt;=X$4+6,$F6&gt;=X$4),1,0)</f>
        <v>0</v>
      </c>
      <c r="Y6" s="11" t="n">
        <f aca="false">IF(AND($E6&lt;=Y$4+6,$F6&gt;=Y$4),1,0)</f>
        <v>0</v>
      </c>
      <c r="Z6" s="11" t="n">
        <f aca="false">IF(AND($E6&lt;=Z$4+6,$F6&gt;=Z$4),1,0)</f>
        <v>0</v>
      </c>
      <c r="AA6" s="11" t="n">
        <f aca="false">IF(AND($E6&lt;=AA$4+6,$F6&gt;=AA$4),1,0)</f>
        <v>0</v>
      </c>
      <c r="AB6" s="11" t="n">
        <f aca="false">IF(AND($E6&lt;=AB$4+6,$F6&gt;=AB$4),1,0)</f>
        <v>0</v>
      </c>
      <c r="AC6" s="11" t="n">
        <f aca="false">IF(AND($E6&lt;=AC$4+6,$F6&gt;=AC$4),1,0)</f>
        <v>0</v>
      </c>
      <c r="AD6" s="11" t="n">
        <f aca="false">IF(AND($E6&lt;=AD$4+6,$F6&gt;=AD$4),1,0)</f>
        <v>0</v>
      </c>
      <c r="AE6" s="11" t="n">
        <f aca="false">IF(AND($E6&lt;=AE$4+6,$F6&gt;=AE$4),1,0)</f>
        <v>0</v>
      </c>
      <c r="AF6" s="11" t="n">
        <f aca="false">IF(AND($E6&lt;=AF$4+6,$F6&gt;=AF$4),1,0)</f>
        <v>0</v>
      </c>
      <c r="AG6" s="11" t="n">
        <f aca="false">IF(AND($E6&lt;=AG$4+6,$F6&gt;=AG$4),1,0)</f>
        <v>0</v>
      </c>
      <c r="AH6" s="11" t="n">
        <f aca="false">IF(AND($E6&lt;=AH$4+6,$F6&gt;=AH$4),1,0)</f>
        <v>0</v>
      </c>
      <c r="AI6" s="11" t="n">
        <f aca="false">IF(AND($E6&lt;=AI$4+6,$F6&gt;=AI$4),1,0)</f>
        <v>0</v>
      </c>
      <c r="AJ6" s="11" t="n">
        <f aca="false">IF(AND($E6&lt;=AJ$4+6,$F6&gt;=AJ$4),1,0)</f>
        <v>0</v>
      </c>
      <c r="AK6" s="11" t="n">
        <f aca="false">IF(AND($E6&lt;=AK$4+6,$F6&gt;=AK$4),1,0)</f>
        <v>0</v>
      </c>
      <c r="AL6" s="11" t="n">
        <f aca="false">IF(AND($E6&lt;=AL$4+6,$F6&gt;=AL$4),1,0)</f>
        <v>0</v>
      </c>
      <c r="AM6" s="11" t="n">
        <f aca="false">IF(AND($E6&lt;=AM$4+6,$F6&gt;=AM$4),1,0)</f>
        <v>0</v>
      </c>
      <c r="AN6" s="11" t="n">
        <f aca="false">IF(AND($E6&lt;=AN$4+6,$F6&gt;=AN$4),1,0)</f>
        <v>0</v>
      </c>
      <c r="AO6" s="11" t="n">
        <f aca="false">IF(AND($E6&lt;=AO$4+6,$F6&gt;=AO$4),1,0)</f>
        <v>0</v>
      </c>
      <c r="AP6" s="11" t="n">
        <f aca="false">IF(AND($E6&lt;=AP$4+6,$F6&gt;=AP$4),1,0)</f>
        <v>0</v>
      </c>
    </row>
    <row r="7" customFormat="false" ht="15" hidden="false" customHeight="false" outlineLevel="0" collapsed="false">
      <c r="A7" s="14" t="s">
        <v>20</v>
      </c>
      <c r="B7" s="15" t="s">
        <v>21</v>
      </c>
      <c r="C7" s="7" t="s">
        <v>22</v>
      </c>
      <c r="D7" s="8" t="s">
        <v>19</v>
      </c>
      <c r="E7" s="9" t="n">
        <f aca="false">WORKDAY(F5,1,Holidays)</f>
        <v>46325</v>
      </c>
      <c r="F7" s="9" t="n">
        <f aca="false">_xlfn.MAXIFS('Dev Task List'!$L:$L,'Dev Task List'!$B:$B,A7)</f>
        <v>46457</v>
      </c>
      <c r="G7" s="7" t="n">
        <f aca="false">NETWORKDAYS(E7,F7,Holidays)</f>
        <v>86</v>
      </c>
      <c r="H7" s="7" t="n">
        <f aca="false">COUNTIF('Dev Task List'!$B:$B,A7)</f>
        <v>40</v>
      </c>
      <c r="I7" s="7" t="n">
        <f aca="false">SUMIF('Dev Task List'!$B:$B,A7,'Dev Task List'!$G:$G)</f>
        <v>45</v>
      </c>
      <c r="J7" s="7" t="n">
        <f aca="false">COUNTIFS('Dev Task List'!$B:$B,A7,'Dev Task List'!$N:$N,"Done")</f>
        <v>0</v>
      </c>
      <c r="K7" s="10" t="n">
        <f aca="false">IF(H7=0,0,J7/H7)</f>
        <v>0</v>
      </c>
      <c r="M7" s="11" t="n">
        <f aca="false">IF(AND($E7&lt;=M$4+6,$F7&gt;=M$4),1,0)</f>
        <v>0</v>
      </c>
      <c r="N7" s="11" t="n">
        <f aca="false">IF(AND($E7&lt;=N$4+6,$F7&gt;=N$4),1,0)</f>
        <v>1</v>
      </c>
      <c r="O7" s="11" t="n">
        <f aca="false">IF(AND($E7&lt;=O$4+6,$F7&gt;=O$4),1,0)</f>
        <v>1</v>
      </c>
      <c r="P7" s="11" t="n">
        <f aca="false">IF(AND($E7&lt;=P$4+6,$F7&gt;=P$4),1,0)</f>
        <v>1</v>
      </c>
      <c r="Q7" s="11" t="n">
        <f aca="false">IF(AND($E7&lt;=Q$4+6,$F7&gt;=Q$4),1,0)</f>
        <v>1</v>
      </c>
      <c r="R7" s="11" t="n">
        <f aca="false">IF(AND($E7&lt;=R$4+6,$F7&gt;=R$4),1,0)</f>
        <v>1</v>
      </c>
      <c r="S7" s="11" t="n">
        <f aca="false">IF(AND($E7&lt;=S$4+6,$F7&gt;=S$4),1,0)</f>
        <v>1</v>
      </c>
      <c r="T7" s="11" t="n">
        <f aca="false">IF(AND($E7&lt;=T$4+6,$F7&gt;=T$4),1,0)</f>
        <v>1</v>
      </c>
      <c r="U7" s="11" t="n">
        <f aca="false">IF(AND($E7&lt;=U$4+6,$F7&gt;=U$4),1,0)</f>
        <v>1</v>
      </c>
      <c r="V7" s="11" t="n">
        <f aca="false">IF(AND($E7&lt;=V$4+6,$F7&gt;=V$4),1,0)</f>
        <v>1</v>
      </c>
      <c r="W7" s="11" t="n">
        <f aca="false">IF(AND($E7&lt;=W$4+6,$F7&gt;=W$4),1,0)</f>
        <v>1</v>
      </c>
      <c r="X7" s="11" t="n">
        <f aca="false">IF(AND($E7&lt;=X$4+6,$F7&gt;=X$4),1,0)</f>
        <v>1</v>
      </c>
      <c r="Y7" s="11" t="n">
        <f aca="false">IF(AND($E7&lt;=Y$4+6,$F7&gt;=Y$4),1,0)</f>
        <v>1</v>
      </c>
      <c r="Z7" s="11" t="n">
        <f aca="false">IF(AND($E7&lt;=Z$4+6,$F7&gt;=Z$4),1,0)</f>
        <v>1</v>
      </c>
      <c r="AA7" s="11" t="n">
        <f aca="false">IF(AND($E7&lt;=AA$4+6,$F7&gt;=AA$4),1,0)</f>
        <v>1</v>
      </c>
      <c r="AB7" s="11" t="n">
        <f aca="false">IF(AND($E7&lt;=AB$4+6,$F7&gt;=AB$4),1,0)</f>
        <v>1</v>
      </c>
      <c r="AC7" s="11" t="n">
        <f aca="false">IF(AND($E7&lt;=AC$4+6,$F7&gt;=AC$4),1,0)</f>
        <v>1</v>
      </c>
      <c r="AD7" s="11" t="n">
        <f aca="false">IF(AND($E7&lt;=AD$4+6,$F7&gt;=AD$4),1,0)</f>
        <v>1</v>
      </c>
      <c r="AE7" s="11" t="n">
        <f aca="false">IF(AND($E7&lt;=AE$4+6,$F7&gt;=AE$4),1,0)</f>
        <v>1</v>
      </c>
      <c r="AF7" s="11" t="n">
        <f aca="false">IF(AND($E7&lt;=AF$4+6,$F7&gt;=AF$4),1,0)</f>
        <v>1</v>
      </c>
      <c r="AG7" s="11" t="n">
        <f aca="false">IF(AND($E7&lt;=AG$4+6,$F7&gt;=AG$4),1,0)</f>
        <v>1</v>
      </c>
      <c r="AH7" s="11" t="n">
        <f aca="false">IF(AND($E7&lt;=AH$4+6,$F7&gt;=AH$4),1,0)</f>
        <v>0</v>
      </c>
      <c r="AI7" s="11" t="n">
        <f aca="false">IF(AND($E7&lt;=AI$4+6,$F7&gt;=AI$4),1,0)</f>
        <v>0</v>
      </c>
      <c r="AJ7" s="11" t="n">
        <f aca="false">IF(AND($E7&lt;=AJ$4+6,$F7&gt;=AJ$4),1,0)</f>
        <v>0</v>
      </c>
      <c r="AK7" s="11" t="n">
        <f aca="false">IF(AND($E7&lt;=AK$4+6,$F7&gt;=AK$4),1,0)</f>
        <v>0</v>
      </c>
      <c r="AL7" s="11" t="n">
        <f aca="false">IF(AND($E7&lt;=AL$4+6,$F7&gt;=AL$4),1,0)</f>
        <v>0</v>
      </c>
      <c r="AM7" s="11" t="n">
        <f aca="false">IF(AND($E7&lt;=AM$4+6,$F7&gt;=AM$4),1,0)</f>
        <v>0</v>
      </c>
      <c r="AN7" s="11" t="n">
        <f aca="false">IF(AND($E7&lt;=AN$4+6,$F7&gt;=AN$4),1,0)</f>
        <v>0</v>
      </c>
      <c r="AO7" s="11" t="n">
        <f aca="false">IF(AND($E7&lt;=AO$4+6,$F7&gt;=AO$4),1,0)</f>
        <v>0</v>
      </c>
      <c r="AP7" s="11" t="n">
        <f aca="false">IF(AND($E7&lt;=AP$4+6,$F7&gt;=AP$4),1,0)</f>
        <v>0</v>
      </c>
    </row>
    <row r="8" customFormat="false" ht="15" hidden="false" customHeight="false" outlineLevel="0" collapsed="false">
      <c r="A8" s="16" t="s">
        <v>23</v>
      </c>
      <c r="B8" s="17" t="s">
        <v>24</v>
      </c>
      <c r="C8" s="7" t="s">
        <v>25</v>
      </c>
      <c r="D8" s="8" t="s">
        <v>19</v>
      </c>
      <c r="E8" s="9" t="n">
        <f aca="false">WORKDAY(F5,1,Holidays)</f>
        <v>46325</v>
      </c>
      <c r="F8" s="9" t="n">
        <f aca="false">_xlfn.MAXIFS('Dev Task List'!$L:$L,'Dev Task List'!$B:$B,A8)</f>
        <v>46343</v>
      </c>
      <c r="G8" s="7" t="n">
        <f aca="false">NETWORKDAYS(E8,F8,Holidays)</f>
        <v>12</v>
      </c>
      <c r="H8" s="7" t="n">
        <f aca="false">COUNTIF('Dev Task List'!$B:$B,A8)</f>
        <v>11</v>
      </c>
      <c r="I8" s="7" t="n">
        <f aca="false">SUMIF('Dev Task List'!$B:$B,A8,'Dev Task List'!$G:$G)</f>
        <v>11</v>
      </c>
      <c r="J8" s="7" t="n">
        <f aca="false">COUNTIFS('Dev Task List'!$B:$B,A8,'Dev Task List'!$N:$N,"Done")</f>
        <v>0</v>
      </c>
      <c r="K8" s="10" t="n">
        <f aca="false">IF(H8=0,0,J8/H8)</f>
        <v>0</v>
      </c>
      <c r="M8" s="11" t="n">
        <f aca="false">IF(AND($E8&lt;=M$4+6,$F8&gt;=M$4),1,0)</f>
        <v>0</v>
      </c>
      <c r="N8" s="11" t="n">
        <f aca="false">IF(AND($E8&lt;=N$4+6,$F8&gt;=N$4),1,0)</f>
        <v>1</v>
      </c>
      <c r="O8" s="11" t="n">
        <f aca="false">IF(AND($E8&lt;=O$4+6,$F8&gt;=O$4),1,0)</f>
        <v>1</v>
      </c>
      <c r="P8" s="11" t="n">
        <f aca="false">IF(AND($E8&lt;=P$4+6,$F8&gt;=P$4),1,0)</f>
        <v>1</v>
      </c>
      <c r="Q8" s="11" t="n">
        <f aca="false">IF(AND($E8&lt;=Q$4+6,$F8&gt;=Q$4),1,0)</f>
        <v>1</v>
      </c>
      <c r="R8" s="11" t="n">
        <f aca="false">IF(AND($E8&lt;=R$4+6,$F8&gt;=R$4),1,0)</f>
        <v>0</v>
      </c>
      <c r="S8" s="11" t="n">
        <f aca="false">IF(AND($E8&lt;=S$4+6,$F8&gt;=S$4),1,0)</f>
        <v>0</v>
      </c>
      <c r="T8" s="11" t="n">
        <f aca="false">IF(AND($E8&lt;=T$4+6,$F8&gt;=T$4),1,0)</f>
        <v>0</v>
      </c>
      <c r="U8" s="11" t="n">
        <f aca="false">IF(AND($E8&lt;=U$4+6,$F8&gt;=U$4),1,0)</f>
        <v>0</v>
      </c>
      <c r="V8" s="11" t="n">
        <f aca="false">IF(AND($E8&lt;=V$4+6,$F8&gt;=V$4),1,0)</f>
        <v>0</v>
      </c>
      <c r="W8" s="11" t="n">
        <f aca="false">IF(AND($E8&lt;=W$4+6,$F8&gt;=W$4),1,0)</f>
        <v>0</v>
      </c>
      <c r="X8" s="11" t="n">
        <f aca="false">IF(AND($E8&lt;=X$4+6,$F8&gt;=X$4),1,0)</f>
        <v>0</v>
      </c>
      <c r="Y8" s="11" t="n">
        <f aca="false">IF(AND($E8&lt;=Y$4+6,$F8&gt;=Y$4),1,0)</f>
        <v>0</v>
      </c>
      <c r="Z8" s="11" t="n">
        <f aca="false">IF(AND($E8&lt;=Z$4+6,$F8&gt;=Z$4),1,0)</f>
        <v>0</v>
      </c>
      <c r="AA8" s="11" t="n">
        <f aca="false">IF(AND($E8&lt;=AA$4+6,$F8&gt;=AA$4),1,0)</f>
        <v>0</v>
      </c>
      <c r="AB8" s="11" t="n">
        <f aca="false">IF(AND($E8&lt;=AB$4+6,$F8&gt;=AB$4),1,0)</f>
        <v>0</v>
      </c>
      <c r="AC8" s="11" t="n">
        <f aca="false">IF(AND($E8&lt;=AC$4+6,$F8&gt;=AC$4),1,0)</f>
        <v>0</v>
      </c>
      <c r="AD8" s="11" t="n">
        <f aca="false">IF(AND($E8&lt;=AD$4+6,$F8&gt;=AD$4),1,0)</f>
        <v>0</v>
      </c>
      <c r="AE8" s="11" t="n">
        <f aca="false">IF(AND($E8&lt;=AE$4+6,$F8&gt;=AE$4),1,0)</f>
        <v>0</v>
      </c>
      <c r="AF8" s="11" t="n">
        <f aca="false">IF(AND($E8&lt;=AF$4+6,$F8&gt;=AF$4),1,0)</f>
        <v>0</v>
      </c>
      <c r="AG8" s="11" t="n">
        <f aca="false">IF(AND($E8&lt;=AG$4+6,$F8&gt;=AG$4),1,0)</f>
        <v>0</v>
      </c>
      <c r="AH8" s="11" t="n">
        <f aca="false">IF(AND($E8&lt;=AH$4+6,$F8&gt;=AH$4),1,0)</f>
        <v>0</v>
      </c>
      <c r="AI8" s="11" t="n">
        <f aca="false">IF(AND($E8&lt;=AI$4+6,$F8&gt;=AI$4),1,0)</f>
        <v>0</v>
      </c>
      <c r="AJ8" s="11" t="n">
        <f aca="false">IF(AND($E8&lt;=AJ$4+6,$F8&gt;=AJ$4),1,0)</f>
        <v>0</v>
      </c>
      <c r="AK8" s="11" t="n">
        <f aca="false">IF(AND($E8&lt;=AK$4+6,$F8&gt;=AK$4),1,0)</f>
        <v>0</v>
      </c>
      <c r="AL8" s="11" t="n">
        <f aca="false">IF(AND($E8&lt;=AL$4+6,$F8&gt;=AL$4),1,0)</f>
        <v>0</v>
      </c>
      <c r="AM8" s="11" t="n">
        <f aca="false">IF(AND($E8&lt;=AM$4+6,$F8&gt;=AM$4),1,0)</f>
        <v>0</v>
      </c>
      <c r="AN8" s="11" t="n">
        <f aca="false">IF(AND($E8&lt;=AN$4+6,$F8&gt;=AN$4),1,0)</f>
        <v>0</v>
      </c>
      <c r="AO8" s="11" t="n">
        <f aca="false">IF(AND($E8&lt;=AO$4+6,$F8&gt;=AO$4),1,0)</f>
        <v>0</v>
      </c>
      <c r="AP8" s="11" t="n">
        <f aca="false">IF(AND($E8&lt;=AP$4+6,$F8&gt;=AP$4),1,0)</f>
        <v>0</v>
      </c>
    </row>
    <row r="9" customFormat="false" ht="15" hidden="false" customHeight="false" outlineLevel="0" collapsed="false">
      <c r="A9" s="18" t="s">
        <v>26</v>
      </c>
      <c r="B9" s="19" t="s">
        <v>27</v>
      </c>
      <c r="C9" s="7" t="s">
        <v>15</v>
      </c>
      <c r="D9" s="8" t="s">
        <v>28</v>
      </c>
      <c r="E9" s="9" t="n">
        <f aca="false">WORKDAY(F6,1,Holidays)</f>
        <v>46391</v>
      </c>
      <c r="F9" s="9" t="n">
        <f aca="false">_xlfn.MAXIFS('Dev Task List'!$L:$L,'Dev Task List'!$B:$B,A9)</f>
        <v>46401</v>
      </c>
      <c r="G9" s="7" t="n">
        <f aca="false">NETWORKDAYS(E9,F9,Holidays)</f>
        <v>9</v>
      </c>
      <c r="H9" s="7" t="n">
        <f aca="false">COUNTIF('Dev Task List'!$B:$B,A9)</f>
        <v>6</v>
      </c>
      <c r="I9" s="7" t="n">
        <f aca="false">SUMIF('Dev Task List'!$B:$B,A9,'Dev Task List'!$G:$G)</f>
        <v>1</v>
      </c>
      <c r="J9" s="7" t="n">
        <f aca="false">COUNTIFS('Dev Task List'!$B:$B,A9,'Dev Task List'!$N:$N,"Done")</f>
        <v>0</v>
      </c>
      <c r="K9" s="10" t="n">
        <f aca="false">IF(H9=0,0,J9/H9)</f>
        <v>0</v>
      </c>
      <c r="M9" s="11" t="n">
        <f aca="false">IF(AND($E9&lt;=M$4+6,$F9&gt;=M$4),1,0)</f>
        <v>0</v>
      </c>
      <c r="N9" s="11" t="n">
        <f aca="false">IF(AND($E9&lt;=N$4+6,$F9&gt;=N$4),1,0)</f>
        <v>0</v>
      </c>
      <c r="O9" s="11" t="n">
        <f aca="false">IF(AND($E9&lt;=O$4+6,$F9&gt;=O$4),1,0)</f>
        <v>0</v>
      </c>
      <c r="P9" s="11" t="n">
        <f aca="false">IF(AND($E9&lt;=P$4+6,$F9&gt;=P$4),1,0)</f>
        <v>0</v>
      </c>
      <c r="Q9" s="11" t="n">
        <f aca="false">IF(AND($E9&lt;=Q$4+6,$F9&gt;=Q$4),1,0)</f>
        <v>0</v>
      </c>
      <c r="R9" s="11" t="n">
        <f aca="false">IF(AND($E9&lt;=R$4+6,$F9&gt;=R$4),1,0)</f>
        <v>0</v>
      </c>
      <c r="S9" s="11" t="n">
        <f aca="false">IF(AND($E9&lt;=S$4+6,$F9&gt;=S$4),1,0)</f>
        <v>0</v>
      </c>
      <c r="T9" s="11" t="n">
        <f aca="false">IF(AND($E9&lt;=T$4+6,$F9&gt;=T$4),1,0)</f>
        <v>0</v>
      </c>
      <c r="U9" s="11" t="n">
        <f aca="false">IF(AND($E9&lt;=U$4+6,$F9&gt;=U$4),1,0)</f>
        <v>0</v>
      </c>
      <c r="V9" s="11" t="n">
        <f aca="false">IF(AND($E9&lt;=V$4+6,$F9&gt;=V$4),1,0)</f>
        <v>0</v>
      </c>
      <c r="W9" s="11" t="n">
        <f aca="false">IF(AND($E9&lt;=W$4+6,$F9&gt;=W$4),1,0)</f>
        <v>0</v>
      </c>
      <c r="X9" s="11" t="n">
        <f aca="false">IF(AND($E9&lt;=X$4+6,$F9&gt;=X$4),1,0)</f>
        <v>1</v>
      </c>
      <c r="Y9" s="11" t="n">
        <f aca="false">IF(AND($E9&lt;=Y$4+6,$F9&gt;=Y$4),1,0)</f>
        <v>1</v>
      </c>
      <c r="Z9" s="11" t="n">
        <f aca="false">IF(AND($E9&lt;=Z$4+6,$F9&gt;=Z$4),1,0)</f>
        <v>0</v>
      </c>
      <c r="AA9" s="11" t="n">
        <f aca="false">IF(AND($E9&lt;=AA$4+6,$F9&gt;=AA$4),1,0)</f>
        <v>0</v>
      </c>
      <c r="AB9" s="11" t="n">
        <f aca="false">IF(AND($E9&lt;=AB$4+6,$F9&gt;=AB$4),1,0)</f>
        <v>0</v>
      </c>
      <c r="AC9" s="11" t="n">
        <f aca="false">IF(AND($E9&lt;=AC$4+6,$F9&gt;=AC$4),1,0)</f>
        <v>0</v>
      </c>
      <c r="AD9" s="11" t="n">
        <f aca="false">IF(AND($E9&lt;=AD$4+6,$F9&gt;=AD$4),1,0)</f>
        <v>0</v>
      </c>
      <c r="AE9" s="11" t="n">
        <f aca="false">IF(AND($E9&lt;=AE$4+6,$F9&gt;=AE$4),1,0)</f>
        <v>0</v>
      </c>
      <c r="AF9" s="11" t="n">
        <f aca="false">IF(AND($E9&lt;=AF$4+6,$F9&gt;=AF$4),1,0)</f>
        <v>0</v>
      </c>
      <c r="AG9" s="11" t="n">
        <f aca="false">IF(AND($E9&lt;=AG$4+6,$F9&gt;=AG$4),1,0)</f>
        <v>0</v>
      </c>
      <c r="AH9" s="11" t="n">
        <f aca="false">IF(AND($E9&lt;=AH$4+6,$F9&gt;=AH$4),1,0)</f>
        <v>0</v>
      </c>
      <c r="AI9" s="11" t="n">
        <f aca="false">IF(AND($E9&lt;=AI$4+6,$F9&gt;=AI$4),1,0)</f>
        <v>0</v>
      </c>
      <c r="AJ9" s="11" t="n">
        <f aca="false">IF(AND($E9&lt;=AJ$4+6,$F9&gt;=AJ$4),1,0)</f>
        <v>0</v>
      </c>
      <c r="AK9" s="11" t="n">
        <f aca="false">IF(AND($E9&lt;=AK$4+6,$F9&gt;=AK$4),1,0)</f>
        <v>0</v>
      </c>
      <c r="AL9" s="11" t="n">
        <f aca="false">IF(AND($E9&lt;=AL$4+6,$F9&gt;=AL$4),1,0)</f>
        <v>0</v>
      </c>
      <c r="AM9" s="11" t="n">
        <f aca="false">IF(AND($E9&lt;=AM$4+6,$F9&gt;=AM$4),1,0)</f>
        <v>0</v>
      </c>
      <c r="AN9" s="11" t="n">
        <f aca="false">IF(AND($E9&lt;=AN$4+6,$F9&gt;=AN$4),1,0)</f>
        <v>0</v>
      </c>
      <c r="AO9" s="11" t="n">
        <f aca="false">IF(AND($E9&lt;=AO$4+6,$F9&gt;=AO$4),1,0)</f>
        <v>0</v>
      </c>
      <c r="AP9" s="11" t="n">
        <f aca="false">IF(AND($E9&lt;=AP$4+6,$F9&gt;=AP$4),1,0)</f>
        <v>0</v>
      </c>
    </row>
    <row r="10" customFormat="false" ht="15" hidden="false" customHeight="false" outlineLevel="0" collapsed="false">
      <c r="A10" s="20" t="s">
        <v>29</v>
      </c>
      <c r="B10" s="21" t="s">
        <v>30</v>
      </c>
      <c r="C10" s="7" t="s">
        <v>25</v>
      </c>
      <c r="D10" s="8" t="s">
        <v>31</v>
      </c>
      <c r="E10" s="9" t="n">
        <f aca="false">WORKDAY(F8,1,Holidays)</f>
        <v>46344</v>
      </c>
      <c r="F10" s="9" t="n">
        <f aca="false">_xlfn.MAXIFS('Dev Task List'!$L:$L,'Dev Task List'!$B:$B,A10)</f>
        <v>46360</v>
      </c>
      <c r="G10" s="7" t="n">
        <f aca="false">NETWORKDAYS(E10,F10,Holidays)</f>
        <v>12</v>
      </c>
      <c r="H10" s="7" t="n">
        <f aca="false">COUNTIF('Dev Task List'!$B:$B,A10)</f>
        <v>6</v>
      </c>
      <c r="I10" s="7" t="n">
        <f aca="false">SUMIF('Dev Task List'!$B:$B,A10,'Dev Task List'!$G:$G)</f>
        <v>6</v>
      </c>
      <c r="J10" s="7" t="n">
        <f aca="false">COUNTIFS('Dev Task List'!$B:$B,A10,'Dev Task List'!$N:$N,"Done")</f>
        <v>0</v>
      </c>
      <c r="K10" s="10" t="n">
        <f aca="false">IF(H10=0,0,J10/H10)</f>
        <v>0</v>
      </c>
      <c r="M10" s="11" t="n">
        <f aca="false">IF(AND($E10&lt;=M$4+6,$F10&gt;=M$4),1,0)</f>
        <v>0</v>
      </c>
      <c r="N10" s="11" t="n">
        <f aca="false">IF(AND($E10&lt;=N$4+6,$F10&gt;=N$4),1,0)</f>
        <v>0</v>
      </c>
      <c r="O10" s="11" t="n">
        <f aca="false">IF(AND($E10&lt;=O$4+6,$F10&gt;=O$4),1,0)</f>
        <v>0</v>
      </c>
      <c r="P10" s="11" t="n">
        <f aca="false">IF(AND($E10&lt;=P$4+6,$F10&gt;=P$4),1,0)</f>
        <v>0</v>
      </c>
      <c r="Q10" s="11" t="n">
        <f aca="false">IF(AND($E10&lt;=Q$4+6,$F10&gt;=Q$4),1,0)</f>
        <v>1</v>
      </c>
      <c r="R10" s="11" t="n">
        <f aca="false">IF(AND($E10&lt;=R$4+6,$F10&gt;=R$4),1,0)</f>
        <v>1</v>
      </c>
      <c r="S10" s="11" t="n">
        <f aca="false">IF(AND($E10&lt;=S$4+6,$F10&gt;=S$4),1,0)</f>
        <v>1</v>
      </c>
      <c r="T10" s="11" t="n">
        <f aca="false">IF(AND($E10&lt;=T$4+6,$F10&gt;=T$4),1,0)</f>
        <v>0</v>
      </c>
      <c r="U10" s="11" t="n">
        <f aca="false">IF(AND($E10&lt;=U$4+6,$F10&gt;=U$4),1,0)</f>
        <v>0</v>
      </c>
      <c r="V10" s="11" t="n">
        <f aca="false">IF(AND($E10&lt;=V$4+6,$F10&gt;=V$4),1,0)</f>
        <v>0</v>
      </c>
      <c r="W10" s="11" t="n">
        <f aca="false">IF(AND($E10&lt;=W$4+6,$F10&gt;=W$4),1,0)</f>
        <v>0</v>
      </c>
      <c r="X10" s="11" t="n">
        <f aca="false">IF(AND($E10&lt;=X$4+6,$F10&gt;=X$4),1,0)</f>
        <v>0</v>
      </c>
      <c r="Y10" s="11" t="n">
        <f aca="false">IF(AND($E10&lt;=Y$4+6,$F10&gt;=Y$4),1,0)</f>
        <v>0</v>
      </c>
      <c r="Z10" s="11" t="n">
        <f aca="false">IF(AND($E10&lt;=Z$4+6,$F10&gt;=Z$4),1,0)</f>
        <v>0</v>
      </c>
      <c r="AA10" s="11" t="n">
        <f aca="false">IF(AND($E10&lt;=AA$4+6,$F10&gt;=AA$4),1,0)</f>
        <v>0</v>
      </c>
      <c r="AB10" s="11" t="n">
        <f aca="false">IF(AND($E10&lt;=AB$4+6,$F10&gt;=AB$4),1,0)</f>
        <v>0</v>
      </c>
      <c r="AC10" s="11" t="n">
        <f aca="false">IF(AND($E10&lt;=AC$4+6,$F10&gt;=AC$4),1,0)</f>
        <v>0</v>
      </c>
      <c r="AD10" s="11" t="n">
        <f aca="false">IF(AND($E10&lt;=AD$4+6,$F10&gt;=AD$4),1,0)</f>
        <v>0</v>
      </c>
      <c r="AE10" s="11" t="n">
        <f aca="false">IF(AND($E10&lt;=AE$4+6,$F10&gt;=AE$4),1,0)</f>
        <v>0</v>
      </c>
      <c r="AF10" s="11" t="n">
        <f aca="false">IF(AND($E10&lt;=AF$4+6,$F10&gt;=AF$4),1,0)</f>
        <v>0</v>
      </c>
      <c r="AG10" s="11" t="n">
        <f aca="false">IF(AND($E10&lt;=AG$4+6,$F10&gt;=AG$4),1,0)</f>
        <v>0</v>
      </c>
      <c r="AH10" s="11" t="n">
        <f aca="false">IF(AND($E10&lt;=AH$4+6,$F10&gt;=AH$4),1,0)</f>
        <v>0</v>
      </c>
      <c r="AI10" s="11" t="n">
        <f aca="false">IF(AND($E10&lt;=AI$4+6,$F10&gt;=AI$4),1,0)</f>
        <v>0</v>
      </c>
      <c r="AJ10" s="11" t="n">
        <f aca="false">IF(AND($E10&lt;=AJ$4+6,$F10&gt;=AJ$4),1,0)</f>
        <v>0</v>
      </c>
      <c r="AK10" s="11" t="n">
        <f aca="false">IF(AND($E10&lt;=AK$4+6,$F10&gt;=AK$4),1,0)</f>
        <v>0</v>
      </c>
      <c r="AL10" s="11" t="n">
        <f aca="false">IF(AND($E10&lt;=AL$4+6,$F10&gt;=AL$4),1,0)</f>
        <v>0</v>
      </c>
      <c r="AM10" s="11" t="n">
        <f aca="false">IF(AND($E10&lt;=AM$4+6,$F10&gt;=AM$4),1,0)</f>
        <v>0</v>
      </c>
      <c r="AN10" s="11" t="n">
        <f aca="false">IF(AND($E10&lt;=AN$4+6,$F10&gt;=AN$4),1,0)</f>
        <v>0</v>
      </c>
      <c r="AO10" s="11" t="n">
        <f aca="false">IF(AND($E10&lt;=AO$4+6,$F10&gt;=AO$4),1,0)</f>
        <v>0</v>
      </c>
      <c r="AP10" s="11" t="n">
        <f aca="false">IF(AND($E10&lt;=AP$4+6,$F10&gt;=AP$4),1,0)</f>
        <v>0</v>
      </c>
    </row>
    <row r="11" customFormat="false" ht="15" hidden="false" customHeight="false" outlineLevel="0" collapsed="false">
      <c r="B11" s="22" t="s">
        <v>32</v>
      </c>
      <c r="E11" s="23" t="n">
        <f aca="false">MIN(E5:E10)</f>
        <v>46314</v>
      </c>
      <c r="F11" s="23" t="n">
        <f aca="false">MAX(F5:F10)</f>
        <v>46457</v>
      </c>
      <c r="G11" s="24" t="n">
        <f aca="false">NETWORKDAYS(E11,F11,Holidays)</f>
        <v>95</v>
      </c>
      <c r="H11" s="24" t="n">
        <f aca="false">SUM(H5:H10)</f>
        <v>88</v>
      </c>
      <c r="I11" s="24" t="n">
        <f aca="false">SUM(I5:I10)</f>
        <v>89</v>
      </c>
      <c r="J11" s="24" t="n">
        <f aca="false">SUM(J5:J10)</f>
        <v>0</v>
      </c>
      <c r="K11" s="25" t="n">
        <f aca="false">IF(H11=0,0,J11/H11)</f>
        <v>0</v>
      </c>
      <c r="M11" s="11" t="n">
        <f aca="false">IF(AND($E11&lt;=M$4+6,$F11&gt;=M$4),1,0)</f>
        <v>1</v>
      </c>
      <c r="N11" s="11" t="n">
        <f aca="false">IF(AND($E11&lt;=N$4+6,$F11&gt;=N$4),1,0)</f>
        <v>1</v>
      </c>
      <c r="O11" s="11" t="n">
        <f aca="false">IF(AND($E11&lt;=O$4+6,$F11&gt;=O$4),1,0)</f>
        <v>1</v>
      </c>
      <c r="P11" s="11" t="n">
        <f aca="false">IF(AND($E11&lt;=P$4+6,$F11&gt;=P$4),1,0)</f>
        <v>1</v>
      </c>
      <c r="Q11" s="11" t="n">
        <f aca="false">IF(AND($E11&lt;=Q$4+6,$F11&gt;=Q$4),1,0)</f>
        <v>1</v>
      </c>
      <c r="R11" s="11" t="n">
        <f aca="false">IF(AND($E11&lt;=R$4+6,$F11&gt;=R$4),1,0)</f>
        <v>1</v>
      </c>
      <c r="S11" s="11" t="n">
        <f aca="false">IF(AND($E11&lt;=S$4+6,$F11&gt;=S$4),1,0)</f>
        <v>1</v>
      </c>
      <c r="T11" s="11" t="n">
        <f aca="false">IF(AND($E11&lt;=T$4+6,$F11&gt;=T$4),1,0)</f>
        <v>1</v>
      </c>
      <c r="U11" s="11" t="n">
        <f aca="false">IF(AND($E11&lt;=U$4+6,$F11&gt;=U$4),1,0)</f>
        <v>1</v>
      </c>
      <c r="V11" s="11" t="n">
        <f aca="false">IF(AND($E11&lt;=V$4+6,$F11&gt;=V$4),1,0)</f>
        <v>1</v>
      </c>
      <c r="W11" s="11" t="n">
        <f aca="false">IF(AND($E11&lt;=W$4+6,$F11&gt;=W$4),1,0)</f>
        <v>1</v>
      </c>
      <c r="X11" s="11" t="n">
        <f aca="false">IF(AND($E11&lt;=X$4+6,$F11&gt;=X$4),1,0)</f>
        <v>1</v>
      </c>
      <c r="Y11" s="11" t="n">
        <f aca="false">IF(AND($E11&lt;=Y$4+6,$F11&gt;=Y$4),1,0)</f>
        <v>1</v>
      </c>
      <c r="Z11" s="11" t="n">
        <f aca="false">IF(AND($E11&lt;=Z$4+6,$F11&gt;=Z$4),1,0)</f>
        <v>1</v>
      </c>
      <c r="AA11" s="11" t="n">
        <f aca="false">IF(AND($E11&lt;=AA$4+6,$F11&gt;=AA$4),1,0)</f>
        <v>1</v>
      </c>
      <c r="AB11" s="11" t="n">
        <f aca="false">IF(AND($E11&lt;=AB$4+6,$F11&gt;=AB$4),1,0)</f>
        <v>1</v>
      </c>
      <c r="AC11" s="11" t="n">
        <f aca="false">IF(AND($E11&lt;=AC$4+6,$F11&gt;=AC$4),1,0)</f>
        <v>1</v>
      </c>
      <c r="AD11" s="11" t="n">
        <f aca="false">IF(AND($E11&lt;=AD$4+6,$F11&gt;=AD$4),1,0)</f>
        <v>1</v>
      </c>
      <c r="AE11" s="11" t="n">
        <f aca="false">IF(AND($E11&lt;=AE$4+6,$F11&gt;=AE$4),1,0)</f>
        <v>1</v>
      </c>
      <c r="AF11" s="11" t="n">
        <f aca="false">IF(AND($E11&lt;=AF$4+6,$F11&gt;=AF$4),1,0)</f>
        <v>1</v>
      </c>
      <c r="AG11" s="11" t="n">
        <f aca="false">IF(AND($E11&lt;=AG$4+6,$F11&gt;=AG$4),1,0)</f>
        <v>1</v>
      </c>
      <c r="AH11" s="11" t="n">
        <f aca="false">IF(AND($E11&lt;=AH$4+6,$F11&gt;=AH$4),1,0)</f>
        <v>0</v>
      </c>
      <c r="AI11" s="11" t="n">
        <f aca="false">IF(AND($E11&lt;=AI$4+6,$F11&gt;=AI$4),1,0)</f>
        <v>0</v>
      </c>
      <c r="AJ11" s="11" t="n">
        <f aca="false">IF(AND($E11&lt;=AJ$4+6,$F11&gt;=AJ$4),1,0)</f>
        <v>0</v>
      </c>
      <c r="AK11" s="11" t="n">
        <f aca="false">IF(AND($E11&lt;=AK$4+6,$F11&gt;=AK$4),1,0)</f>
        <v>0</v>
      </c>
      <c r="AL11" s="11" t="n">
        <f aca="false">IF(AND($E11&lt;=AL$4+6,$F11&gt;=AL$4),1,0)</f>
        <v>0</v>
      </c>
      <c r="AM11" s="11" t="n">
        <f aca="false">IF(AND($E11&lt;=AM$4+6,$F11&gt;=AM$4),1,0)</f>
        <v>0</v>
      </c>
      <c r="AN11" s="11" t="n">
        <f aca="false">IF(AND($E11&lt;=AN$4+6,$F11&gt;=AN$4),1,0)</f>
        <v>0</v>
      </c>
      <c r="AO11" s="11" t="n">
        <f aca="false">IF(AND($E11&lt;=AO$4+6,$F11&gt;=AO$4),1,0)</f>
        <v>0</v>
      </c>
      <c r="AP11" s="11" t="n">
        <f aca="false">IF(AND($E11&lt;=AP$4+6,$F11&gt;=AP$4),1,0)</f>
        <v>0</v>
      </c>
    </row>
    <row r="13" customFormat="false" ht="15" hidden="false" customHeight="false" outlineLevel="0" collapsed="false">
      <c r="A13" s="2" t="s">
        <v>33</v>
      </c>
    </row>
  </sheetData>
  <conditionalFormatting sqref="M5:AP11">
    <cfRule type="expression" priority="2" aboveAverage="0" equalAverage="0" bottom="0" percent="0" rank="0" text="" dxfId="0">
      <formula>M5=1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8"/>
    <col collapsed="false" customWidth="true" hidden="false" outlineLevel="0" max="8" min="8" style="0" width="52"/>
    <col collapsed="false" customWidth="true" hidden="false" outlineLevel="0" max="10" min="9" style="0" width="8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6" min="14" style="0" width="13"/>
    <col collapsed="false" customWidth="true" hidden="false" outlineLevel="0" max="17" min="17" style="0" width="2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3.85" hidden="false" customHeight="false" outlineLevel="0" collapsed="false">
      <c r="A4" s="3" t="s">
        <v>36</v>
      </c>
      <c r="B4" s="3" t="s">
        <v>2</v>
      </c>
      <c r="C4" s="3" t="s">
        <v>3</v>
      </c>
      <c r="D4" s="3" t="s">
        <v>37</v>
      </c>
      <c r="E4" s="3" t="s">
        <v>38</v>
      </c>
      <c r="F4" s="3" t="s">
        <v>39</v>
      </c>
      <c r="G4" s="3" t="s">
        <v>10</v>
      </c>
      <c r="H4" s="3" t="s">
        <v>40</v>
      </c>
      <c r="I4" s="3" t="s">
        <v>41</v>
      </c>
      <c r="J4" s="3" t="s">
        <v>42</v>
      </c>
      <c r="K4" s="3" t="s">
        <v>6</v>
      </c>
      <c r="L4" s="3" t="s">
        <v>7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</row>
    <row r="5" customFormat="false" ht="23.85" hidden="false" customHeight="false" outlineLevel="0" collapsed="false">
      <c r="A5" s="26" t="s">
        <v>48</v>
      </c>
      <c r="B5" s="27" t="s">
        <v>13</v>
      </c>
      <c r="C5" s="6" t="s">
        <v>14</v>
      </c>
      <c r="D5" s="8" t="s">
        <v>49</v>
      </c>
      <c r="E5" s="22" t="s">
        <v>50</v>
      </c>
      <c r="F5" s="8" t="s">
        <v>51</v>
      </c>
      <c r="G5" s="28" t="n">
        <f aca="false">COUNTIF('Screen List'!$B:$B,A5)</f>
        <v>0</v>
      </c>
      <c r="H5" s="8" t="s">
        <v>52</v>
      </c>
      <c r="I5" s="28"/>
      <c r="J5" s="29" t="n">
        <v>1</v>
      </c>
      <c r="K5" s="9" t="n">
        <f aca="false">INDEX('Module Timeline'!$E:$E,MATCH(B5,'Module Timeline'!$A:$A,0))</f>
        <v>46314</v>
      </c>
      <c r="L5" s="9" t="n">
        <f aca="false">WORKDAY(K5,MAX(J5,1)-1,Holidays)</f>
        <v>46314</v>
      </c>
      <c r="M5" s="30"/>
      <c r="N5" s="31" t="s">
        <v>53</v>
      </c>
      <c r="O5" s="32"/>
      <c r="P5" s="32"/>
      <c r="Q5" s="30"/>
    </row>
    <row r="6" customFormat="false" ht="23.85" hidden="false" customHeight="false" outlineLevel="0" collapsed="false">
      <c r="A6" s="26" t="s">
        <v>54</v>
      </c>
      <c r="B6" s="27" t="s">
        <v>13</v>
      </c>
      <c r="C6" s="6" t="s">
        <v>14</v>
      </c>
      <c r="D6" s="8" t="s">
        <v>49</v>
      </c>
      <c r="E6" s="22" t="s">
        <v>55</v>
      </c>
      <c r="F6" s="8" t="s">
        <v>56</v>
      </c>
      <c r="G6" s="28" t="n">
        <f aca="false">COUNTIF('Screen List'!$B:$B,A6)</f>
        <v>0</v>
      </c>
      <c r="H6" s="8" t="s">
        <v>52</v>
      </c>
      <c r="I6" s="28"/>
      <c r="J6" s="29" t="n">
        <v>2</v>
      </c>
      <c r="K6" s="9" t="n">
        <f aca="false">WORKDAY(L5,1,Holidays)</f>
        <v>46315</v>
      </c>
      <c r="L6" s="9" t="n">
        <f aca="false">WORKDAY(K6,MAX(J6,1)-1,Holidays)</f>
        <v>46316</v>
      </c>
      <c r="M6" s="30"/>
      <c r="N6" s="31" t="s">
        <v>53</v>
      </c>
      <c r="O6" s="32"/>
      <c r="P6" s="32"/>
      <c r="Q6" s="30"/>
    </row>
    <row r="7" customFormat="false" ht="15" hidden="false" customHeight="false" outlineLevel="0" collapsed="false">
      <c r="A7" s="26" t="s">
        <v>57</v>
      </c>
      <c r="B7" s="27" t="s">
        <v>13</v>
      </c>
      <c r="C7" s="6" t="s">
        <v>14</v>
      </c>
      <c r="D7" s="8" t="s">
        <v>49</v>
      </c>
      <c r="E7" s="22" t="s">
        <v>58</v>
      </c>
      <c r="F7" s="8" t="s">
        <v>59</v>
      </c>
      <c r="G7" s="28" t="n">
        <f aca="false">COUNTIF('Screen List'!$B:$B,A7)</f>
        <v>0</v>
      </c>
      <c r="H7" s="8" t="s">
        <v>52</v>
      </c>
      <c r="I7" s="28"/>
      <c r="J7" s="29" t="n">
        <v>3</v>
      </c>
      <c r="K7" s="9" t="n">
        <f aca="false">WORKDAY(L6,1,Holidays)</f>
        <v>46317</v>
      </c>
      <c r="L7" s="9" t="n">
        <f aca="false">WORKDAY(K7,MAX(J7,1)-1,Holidays)</f>
        <v>46321</v>
      </c>
      <c r="M7" s="30"/>
      <c r="N7" s="31" t="s">
        <v>53</v>
      </c>
      <c r="O7" s="32"/>
      <c r="P7" s="32"/>
      <c r="Q7" s="30"/>
    </row>
    <row r="8" customFormat="false" ht="15" hidden="false" customHeight="false" outlineLevel="0" collapsed="false">
      <c r="A8" s="26" t="s">
        <v>60</v>
      </c>
      <c r="B8" s="27" t="s">
        <v>13</v>
      </c>
      <c r="C8" s="6" t="s">
        <v>14</v>
      </c>
      <c r="D8" s="8" t="s">
        <v>49</v>
      </c>
      <c r="E8" s="22" t="s">
        <v>61</v>
      </c>
      <c r="F8" s="8" t="s">
        <v>62</v>
      </c>
      <c r="G8" s="28" t="n">
        <f aca="false">COUNTIF('Screen List'!$B:$B,A8)</f>
        <v>0</v>
      </c>
      <c r="H8" s="8" t="s">
        <v>52</v>
      </c>
      <c r="I8" s="28"/>
      <c r="J8" s="29" t="n">
        <v>2</v>
      </c>
      <c r="K8" s="9" t="n">
        <f aca="false">WORKDAY(L7,1,Holidays)</f>
        <v>46322</v>
      </c>
      <c r="L8" s="9" t="n">
        <f aca="false">WORKDAY(K8,MAX(J8,1)-1,Holidays)</f>
        <v>46323</v>
      </c>
      <c r="M8" s="30"/>
      <c r="N8" s="31" t="s">
        <v>53</v>
      </c>
      <c r="O8" s="32"/>
      <c r="P8" s="32"/>
      <c r="Q8" s="30"/>
    </row>
    <row r="9" customFormat="false" ht="23.85" hidden="false" customHeight="false" outlineLevel="0" collapsed="false">
      <c r="A9" s="26" t="s">
        <v>63</v>
      </c>
      <c r="B9" s="27" t="s">
        <v>13</v>
      </c>
      <c r="C9" s="6" t="s">
        <v>14</v>
      </c>
      <c r="D9" s="8" t="s">
        <v>49</v>
      </c>
      <c r="E9" s="22" t="s">
        <v>64</v>
      </c>
      <c r="F9" s="8" t="s">
        <v>65</v>
      </c>
      <c r="G9" s="28" t="n">
        <f aca="false">COUNTIF('Screen List'!$B:$B,A9)</f>
        <v>0</v>
      </c>
      <c r="H9" s="8" t="s">
        <v>52</v>
      </c>
      <c r="I9" s="28"/>
      <c r="J9" s="29" t="n">
        <v>1</v>
      </c>
      <c r="K9" s="9" t="n">
        <f aca="false">WORKDAY(L8,1,Holidays)</f>
        <v>46324</v>
      </c>
      <c r="L9" s="9" t="n">
        <f aca="false">WORKDAY(K9,MAX(J9,1)-1,Holidays)</f>
        <v>46324</v>
      </c>
      <c r="M9" s="30"/>
      <c r="N9" s="31" t="s">
        <v>53</v>
      </c>
      <c r="O9" s="32"/>
      <c r="P9" s="32"/>
      <c r="Q9" s="30"/>
    </row>
    <row r="10" customFormat="false" ht="15" hidden="false" customHeight="false" outlineLevel="0" collapsed="false">
      <c r="A10" s="33" t="s">
        <v>66</v>
      </c>
      <c r="B10" s="34" t="s">
        <v>26</v>
      </c>
      <c r="C10" s="19" t="s">
        <v>27</v>
      </c>
      <c r="D10" s="8" t="s">
        <v>67</v>
      </c>
      <c r="E10" s="22" t="s">
        <v>68</v>
      </c>
      <c r="F10" s="8" t="s">
        <v>69</v>
      </c>
      <c r="G10" s="28" t="n">
        <f aca="false">COUNTIF('Screen List'!$B:$B,A10)</f>
        <v>1</v>
      </c>
      <c r="H10" s="8" t="s">
        <v>70</v>
      </c>
      <c r="I10" s="35" t="s">
        <v>71</v>
      </c>
      <c r="J10" s="29" t="n">
        <v>1</v>
      </c>
      <c r="K10" s="9" t="n">
        <f aca="false">INDEX('Module Timeline'!$E:$E,MATCH(B10,'Module Timeline'!$A:$A,0))</f>
        <v>46391</v>
      </c>
      <c r="L10" s="9" t="n">
        <f aca="false">WORKDAY(K10,MAX(J10,1)-1,Holidays)</f>
        <v>46391</v>
      </c>
      <c r="M10" s="30"/>
      <c r="N10" s="31" t="s">
        <v>53</v>
      </c>
      <c r="O10" s="32"/>
      <c r="P10" s="32"/>
      <c r="Q10" s="30"/>
    </row>
    <row r="11" customFormat="false" ht="23.85" hidden="false" customHeight="false" outlineLevel="0" collapsed="false">
      <c r="A11" s="33" t="s">
        <v>72</v>
      </c>
      <c r="B11" s="34" t="s">
        <v>26</v>
      </c>
      <c r="C11" s="19" t="s">
        <v>27</v>
      </c>
      <c r="D11" s="8" t="s">
        <v>67</v>
      </c>
      <c r="E11" s="22" t="s">
        <v>73</v>
      </c>
      <c r="F11" s="8" t="s">
        <v>74</v>
      </c>
      <c r="G11" s="28" t="n">
        <f aca="false">COUNTIF('Screen List'!$B:$B,A11)</f>
        <v>0</v>
      </c>
      <c r="H11" s="8" t="s">
        <v>52</v>
      </c>
      <c r="I11" s="28"/>
      <c r="J11" s="29" t="n">
        <v>2</v>
      </c>
      <c r="K11" s="9" t="n">
        <f aca="false">WORKDAY(L10,1,Holidays)</f>
        <v>46392</v>
      </c>
      <c r="L11" s="9" t="n">
        <f aca="false">WORKDAY(K11,MAX(J11,1)-1,Holidays)</f>
        <v>46393</v>
      </c>
      <c r="M11" s="30"/>
      <c r="N11" s="31" t="s">
        <v>53</v>
      </c>
      <c r="O11" s="32"/>
      <c r="P11" s="32"/>
      <c r="Q11" s="30"/>
    </row>
    <row r="12" customFormat="false" ht="23.85" hidden="false" customHeight="false" outlineLevel="0" collapsed="false">
      <c r="A12" s="33" t="s">
        <v>75</v>
      </c>
      <c r="B12" s="34" t="s">
        <v>26</v>
      </c>
      <c r="C12" s="19" t="s">
        <v>27</v>
      </c>
      <c r="D12" s="8" t="s">
        <v>67</v>
      </c>
      <c r="E12" s="22" t="s">
        <v>76</v>
      </c>
      <c r="F12" s="8" t="s">
        <v>77</v>
      </c>
      <c r="G12" s="28" t="n">
        <f aca="false">COUNTIF('Screen List'!$B:$B,A12)</f>
        <v>0</v>
      </c>
      <c r="H12" s="8" t="s">
        <v>52</v>
      </c>
      <c r="I12" s="28"/>
      <c r="J12" s="29" t="n">
        <v>1</v>
      </c>
      <c r="K12" s="9" t="n">
        <f aca="false">WORKDAY(L11,1,Holidays)</f>
        <v>46394</v>
      </c>
      <c r="L12" s="9" t="n">
        <f aca="false">WORKDAY(K12,MAX(J12,1)-1,Holidays)</f>
        <v>46394</v>
      </c>
      <c r="M12" s="30"/>
      <c r="N12" s="31" t="s">
        <v>53</v>
      </c>
      <c r="O12" s="32"/>
      <c r="P12" s="32"/>
      <c r="Q12" s="30"/>
    </row>
    <row r="13" customFormat="false" ht="15" hidden="false" customHeight="false" outlineLevel="0" collapsed="false">
      <c r="A13" s="33" t="s">
        <v>78</v>
      </c>
      <c r="B13" s="34" t="s">
        <v>26</v>
      </c>
      <c r="C13" s="19" t="s">
        <v>27</v>
      </c>
      <c r="D13" s="8" t="s">
        <v>67</v>
      </c>
      <c r="E13" s="22" t="s">
        <v>79</v>
      </c>
      <c r="F13" s="8" t="s">
        <v>80</v>
      </c>
      <c r="G13" s="28" t="n">
        <f aca="false">COUNTIF('Screen List'!$B:$B,A13)</f>
        <v>0</v>
      </c>
      <c r="H13" s="8" t="s">
        <v>52</v>
      </c>
      <c r="I13" s="28"/>
      <c r="J13" s="29" t="n">
        <v>2</v>
      </c>
      <c r="K13" s="9" t="n">
        <f aca="false">WORKDAY(L12,1,Holidays)</f>
        <v>46395</v>
      </c>
      <c r="L13" s="9" t="n">
        <f aca="false">WORKDAY(K13,MAX(J13,1)-1,Holidays)</f>
        <v>46398</v>
      </c>
      <c r="M13" s="30"/>
      <c r="N13" s="31" t="s">
        <v>53</v>
      </c>
      <c r="O13" s="32"/>
      <c r="P13" s="32"/>
      <c r="Q13" s="30"/>
    </row>
    <row r="14" customFormat="false" ht="15" hidden="false" customHeight="false" outlineLevel="0" collapsed="false">
      <c r="A14" s="33" t="s">
        <v>81</v>
      </c>
      <c r="B14" s="34" t="s">
        <v>26</v>
      </c>
      <c r="C14" s="19" t="s">
        <v>27</v>
      </c>
      <c r="D14" s="8" t="s">
        <v>67</v>
      </c>
      <c r="E14" s="22" t="s">
        <v>82</v>
      </c>
      <c r="F14" s="8" t="s">
        <v>83</v>
      </c>
      <c r="G14" s="28" t="n">
        <f aca="false">COUNTIF('Screen List'!$B:$B,A14)</f>
        <v>0</v>
      </c>
      <c r="H14" s="8" t="s">
        <v>52</v>
      </c>
      <c r="I14" s="28"/>
      <c r="J14" s="29" t="n">
        <v>2</v>
      </c>
      <c r="K14" s="9" t="n">
        <f aca="false">WORKDAY(L13,1,Holidays)</f>
        <v>46399</v>
      </c>
      <c r="L14" s="9" t="n">
        <f aca="false">WORKDAY(K14,MAX(J14,1)-1,Holidays)</f>
        <v>46400</v>
      </c>
      <c r="M14" s="30"/>
      <c r="N14" s="31" t="s">
        <v>53</v>
      </c>
      <c r="O14" s="32"/>
      <c r="P14" s="32"/>
      <c r="Q14" s="30"/>
    </row>
    <row r="15" customFormat="false" ht="15" hidden="false" customHeight="false" outlineLevel="0" collapsed="false">
      <c r="A15" s="33" t="s">
        <v>84</v>
      </c>
      <c r="B15" s="34" t="s">
        <v>26</v>
      </c>
      <c r="C15" s="19" t="s">
        <v>27</v>
      </c>
      <c r="D15" s="8" t="s">
        <v>67</v>
      </c>
      <c r="E15" s="22" t="s">
        <v>85</v>
      </c>
      <c r="F15" s="8" t="s">
        <v>86</v>
      </c>
      <c r="G15" s="28" t="n">
        <f aca="false">COUNTIF('Screen List'!$B:$B,A15)</f>
        <v>0</v>
      </c>
      <c r="H15" s="8" t="s">
        <v>52</v>
      </c>
      <c r="I15" s="28"/>
      <c r="J15" s="29" t="n">
        <v>1</v>
      </c>
      <c r="K15" s="9" t="n">
        <f aca="false">WORKDAY(L14,1,Holidays)</f>
        <v>46401</v>
      </c>
      <c r="L15" s="9" t="n">
        <f aca="false">WORKDAY(K15,MAX(J15,1)-1,Holidays)</f>
        <v>46401</v>
      </c>
      <c r="M15" s="30"/>
      <c r="N15" s="31" t="s">
        <v>53</v>
      </c>
      <c r="O15" s="32"/>
      <c r="P15" s="32"/>
      <c r="Q15" s="30"/>
    </row>
    <row r="16" customFormat="false" ht="23.85" hidden="false" customHeight="false" outlineLevel="0" collapsed="false">
      <c r="A16" s="36" t="s">
        <v>87</v>
      </c>
      <c r="B16" s="37" t="s">
        <v>17</v>
      </c>
      <c r="C16" s="13" t="s">
        <v>18</v>
      </c>
      <c r="D16" s="8" t="s">
        <v>88</v>
      </c>
      <c r="E16" s="22" t="s">
        <v>89</v>
      </c>
      <c r="F16" s="8" t="s">
        <v>90</v>
      </c>
      <c r="G16" s="28" t="n">
        <f aca="false">COUNTIF('Screen List'!$B:$B,A16)</f>
        <v>2</v>
      </c>
      <c r="H16" s="8" t="s">
        <v>91</v>
      </c>
      <c r="I16" s="35" t="s">
        <v>71</v>
      </c>
      <c r="J16" s="29" t="n">
        <v>4</v>
      </c>
      <c r="K16" s="9" t="n">
        <f aca="false">INDEX('Module Timeline'!$E:$E,MATCH(B16,'Module Timeline'!$A:$A,0))</f>
        <v>46325</v>
      </c>
      <c r="L16" s="9" t="n">
        <f aca="false">WORKDAY(K16,MAX(J16,1)-1,Holidays)</f>
        <v>46331</v>
      </c>
      <c r="M16" s="30"/>
      <c r="N16" s="31" t="s">
        <v>53</v>
      </c>
      <c r="O16" s="32"/>
      <c r="P16" s="32"/>
      <c r="Q16" s="30"/>
    </row>
    <row r="17" customFormat="false" ht="15" hidden="false" customHeight="false" outlineLevel="0" collapsed="false">
      <c r="A17" s="36" t="s">
        <v>92</v>
      </c>
      <c r="B17" s="37" t="s">
        <v>17</v>
      </c>
      <c r="C17" s="13" t="s">
        <v>18</v>
      </c>
      <c r="D17" s="8" t="s">
        <v>88</v>
      </c>
      <c r="E17" s="22" t="s">
        <v>93</v>
      </c>
      <c r="F17" s="8" t="s">
        <v>94</v>
      </c>
      <c r="G17" s="28" t="n">
        <f aca="false">COUNTIF('Screen List'!$B:$B,A17)</f>
        <v>1</v>
      </c>
      <c r="H17" s="8" t="s">
        <v>95</v>
      </c>
      <c r="I17" s="35" t="s">
        <v>71</v>
      </c>
      <c r="J17" s="29" t="n">
        <v>1</v>
      </c>
      <c r="K17" s="9" t="n">
        <f aca="false">WORKDAY(L16,1,Holidays)</f>
        <v>46332</v>
      </c>
      <c r="L17" s="9" t="n">
        <f aca="false">WORKDAY(K17,MAX(J17,1)-1,Holidays)</f>
        <v>46332</v>
      </c>
      <c r="M17" s="30"/>
      <c r="N17" s="31" t="s">
        <v>53</v>
      </c>
      <c r="O17" s="32"/>
      <c r="P17" s="32"/>
      <c r="Q17" s="30"/>
    </row>
    <row r="18" customFormat="false" ht="15" hidden="false" customHeight="false" outlineLevel="0" collapsed="false">
      <c r="A18" s="36" t="s">
        <v>96</v>
      </c>
      <c r="B18" s="37" t="s">
        <v>17</v>
      </c>
      <c r="C18" s="13" t="s">
        <v>18</v>
      </c>
      <c r="D18" s="8" t="s">
        <v>88</v>
      </c>
      <c r="E18" s="22" t="s">
        <v>97</v>
      </c>
      <c r="F18" s="8" t="s">
        <v>98</v>
      </c>
      <c r="G18" s="28" t="n">
        <f aca="false">COUNTIF('Screen List'!$B:$B,A18)</f>
        <v>1</v>
      </c>
      <c r="H18" s="8" t="s">
        <v>99</v>
      </c>
      <c r="I18" s="35" t="s">
        <v>71</v>
      </c>
      <c r="J18" s="29" t="n">
        <v>3</v>
      </c>
      <c r="K18" s="9" t="n">
        <f aca="false">WORKDAY(L17,1,Holidays)</f>
        <v>46335</v>
      </c>
      <c r="L18" s="9" t="n">
        <f aca="false">WORKDAY(K18,MAX(J18,1)-1,Holidays)</f>
        <v>46337</v>
      </c>
      <c r="M18" s="30"/>
      <c r="N18" s="31" t="s">
        <v>53</v>
      </c>
      <c r="O18" s="32"/>
      <c r="P18" s="32"/>
      <c r="Q18" s="30"/>
    </row>
    <row r="19" customFormat="false" ht="15" hidden="false" customHeight="false" outlineLevel="0" collapsed="false">
      <c r="A19" s="36" t="s">
        <v>100</v>
      </c>
      <c r="B19" s="37" t="s">
        <v>17</v>
      </c>
      <c r="C19" s="13" t="s">
        <v>18</v>
      </c>
      <c r="D19" s="8" t="s">
        <v>88</v>
      </c>
      <c r="E19" s="22" t="s">
        <v>101</v>
      </c>
      <c r="F19" s="8" t="s">
        <v>102</v>
      </c>
      <c r="G19" s="28" t="n">
        <f aca="false">COUNTIF('Screen List'!$B:$B,A19)</f>
        <v>1</v>
      </c>
      <c r="H19" s="8" t="s">
        <v>103</v>
      </c>
      <c r="I19" s="35" t="s">
        <v>71</v>
      </c>
      <c r="J19" s="29" t="n">
        <v>3</v>
      </c>
      <c r="K19" s="9" t="n">
        <f aca="false">WORKDAY(L18,1,Holidays)</f>
        <v>46338</v>
      </c>
      <c r="L19" s="9" t="n">
        <f aca="false">WORKDAY(K19,MAX(J19,1)-1,Holidays)</f>
        <v>46342</v>
      </c>
      <c r="M19" s="30"/>
      <c r="N19" s="31" t="s">
        <v>53</v>
      </c>
      <c r="O19" s="32"/>
      <c r="P19" s="32"/>
      <c r="Q19" s="30"/>
    </row>
    <row r="20" customFormat="false" ht="23.85" hidden="false" customHeight="false" outlineLevel="0" collapsed="false">
      <c r="A20" s="36" t="s">
        <v>104</v>
      </c>
      <c r="B20" s="37" t="s">
        <v>17</v>
      </c>
      <c r="C20" s="13" t="s">
        <v>18</v>
      </c>
      <c r="D20" s="8" t="s">
        <v>88</v>
      </c>
      <c r="E20" s="22" t="s">
        <v>105</v>
      </c>
      <c r="F20" s="8" t="s">
        <v>106</v>
      </c>
      <c r="G20" s="28" t="n">
        <f aca="false">COUNTIF('Screen List'!$B:$B,A20)</f>
        <v>0</v>
      </c>
      <c r="H20" s="8" t="s">
        <v>52</v>
      </c>
      <c r="I20" s="28"/>
      <c r="J20" s="29" t="n">
        <v>2</v>
      </c>
      <c r="K20" s="9" t="n">
        <f aca="false">WORKDAY(L19,1,Holidays)</f>
        <v>46343</v>
      </c>
      <c r="L20" s="9" t="n">
        <f aca="false">WORKDAY(K20,MAX(J20,1)-1,Holidays)</f>
        <v>46344</v>
      </c>
      <c r="M20" s="30"/>
      <c r="N20" s="31" t="s">
        <v>53</v>
      </c>
      <c r="O20" s="32"/>
      <c r="P20" s="32"/>
      <c r="Q20" s="30"/>
    </row>
    <row r="21" customFormat="false" ht="23.85" hidden="false" customHeight="false" outlineLevel="0" collapsed="false">
      <c r="A21" s="36" t="s">
        <v>107</v>
      </c>
      <c r="B21" s="37" t="s">
        <v>17</v>
      </c>
      <c r="C21" s="13" t="s">
        <v>18</v>
      </c>
      <c r="D21" s="8" t="s">
        <v>88</v>
      </c>
      <c r="E21" s="22" t="s">
        <v>108</v>
      </c>
      <c r="F21" s="8" t="s">
        <v>109</v>
      </c>
      <c r="G21" s="28" t="n">
        <f aca="false">COUNTIF('Screen List'!$B:$B,A21)</f>
        <v>0</v>
      </c>
      <c r="H21" s="8" t="s">
        <v>52</v>
      </c>
      <c r="I21" s="28"/>
      <c r="J21" s="29" t="n">
        <v>1</v>
      </c>
      <c r="K21" s="9" t="n">
        <f aca="false">WORKDAY(L20,1,Holidays)</f>
        <v>46345</v>
      </c>
      <c r="L21" s="9" t="n">
        <f aca="false">WORKDAY(K21,MAX(J21,1)-1,Holidays)</f>
        <v>46345</v>
      </c>
      <c r="M21" s="30"/>
      <c r="N21" s="31" t="s">
        <v>53</v>
      </c>
      <c r="O21" s="32"/>
      <c r="P21" s="32"/>
      <c r="Q21" s="30"/>
    </row>
    <row r="22" customFormat="false" ht="15" hidden="false" customHeight="false" outlineLevel="0" collapsed="false">
      <c r="A22" s="36" t="s">
        <v>110</v>
      </c>
      <c r="B22" s="37" t="s">
        <v>17</v>
      </c>
      <c r="C22" s="13" t="s">
        <v>18</v>
      </c>
      <c r="D22" s="8" t="s">
        <v>111</v>
      </c>
      <c r="E22" s="22" t="s">
        <v>112</v>
      </c>
      <c r="F22" s="8" t="s">
        <v>113</v>
      </c>
      <c r="G22" s="28" t="n">
        <f aca="false">COUNTIF('Screen List'!$B:$B,A22)</f>
        <v>1</v>
      </c>
      <c r="H22" s="8" t="s">
        <v>114</v>
      </c>
      <c r="I22" s="35" t="s">
        <v>71</v>
      </c>
      <c r="J22" s="29" t="n">
        <v>2</v>
      </c>
      <c r="K22" s="9" t="n">
        <f aca="false">WORKDAY(L21,1,Holidays)</f>
        <v>46346</v>
      </c>
      <c r="L22" s="9" t="n">
        <f aca="false">WORKDAY(K22,MAX(J22,1)-1,Holidays)</f>
        <v>46349</v>
      </c>
      <c r="M22" s="30"/>
      <c r="N22" s="31" t="s">
        <v>53</v>
      </c>
      <c r="O22" s="32"/>
      <c r="P22" s="32"/>
      <c r="Q22" s="30"/>
    </row>
    <row r="23" customFormat="false" ht="68.65" hidden="false" customHeight="false" outlineLevel="0" collapsed="false">
      <c r="A23" s="36" t="s">
        <v>115</v>
      </c>
      <c r="B23" s="37" t="s">
        <v>17</v>
      </c>
      <c r="C23" s="13" t="s">
        <v>18</v>
      </c>
      <c r="D23" s="8" t="s">
        <v>111</v>
      </c>
      <c r="E23" s="22" t="s">
        <v>116</v>
      </c>
      <c r="F23" s="8" t="s">
        <v>117</v>
      </c>
      <c r="G23" s="28" t="n">
        <f aca="false">COUNTIF('Screen List'!$B:$B,A23)</f>
        <v>6</v>
      </c>
      <c r="H23" s="8" t="s">
        <v>118</v>
      </c>
      <c r="I23" s="35" t="s">
        <v>71</v>
      </c>
      <c r="J23" s="29" t="n">
        <v>3</v>
      </c>
      <c r="K23" s="9" t="n">
        <f aca="false">WORKDAY(L22,1,Holidays)</f>
        <v>46350</v>
      </c>
      <c r="L23" s="9" t="n">
        <f aca="false">WORKDAY(K23,MAX(J23,1)-1,Holidays)</f>
        <v>46352</v>
      </c>
      <c r="M23" s="30"/>
      <c r="N23" s="31" t="s">
        <v>53</v>
      </c>
      <c r="O23" s="32"/>
      <c r="P23" s="32"/>
      <c r="Q23" s="30"/>
    </row>
    <row r="24" customFormat="false" ht="15" hidden="false" customHeight="false" outlineLevel="0" collapsed="false">
      <c r="A24" s="36" t="s">
        <v>119</v>
      </c>
      <c r="B24" s="37" t="s">
        <v>17</v>
      </c>
      <c r="C24" s="13" t="s">
        <v>18</v>
      </c>
      <c r="D24" s="8" t="s">
        <v>111</v>
      </c>
      <c r="E24" s="22" t="s">
        <v>120</v>
      </c>
      <c r="F24" s="8" t="s">
        <v>121</v>
      </c>
      <c r="G24" s="28" t="n">
        <f aca="false">COUNTIF('Screen List'!$B:$B,A24)</f>
        <v>1</v>
      </c>
      <c r="H24" s="8" t="s">
        <v>122</v>
      </c>
      <c r="I24" s="35" t="s">
        <v>71</v>
      </c>
      <c r="J24" s="29" t="n">
        <v>2</v>
      </c>
      <c r="K24" s="9" t="n">
        <f aca="false">WORKDAY(L23,1,Holidays)</f>
        <v>46353</v>
      </c>
      <c r="L24" s="9" t="n">
        <f aca="false">WORKDAY(K24,MAX(J24,1)-1,Holidays)</f>
        <v>46357</v>
      </c>
      <c r="M24" s="30"/>
      <c r="N24" s="31" t="s">
        <v>53</v>
      </c>
      <c r="O24" s="32"/>
      <c r="P24" s="32"/>
      <c r="Q24" s="30"/>
    </row>
    <row r="25" customFormat="false" ht="15" hidden="false" customHeight="false" outlineLevel="0" collapsed="false">
      <c r="A25" s="36" t="s">
        <v>123</v>
      </c>
      <c r="B25" s="37" t="s">
        <v>17</v>
      </c>
      <c r="C25" s="13" t="s">
        <v>18</v>
      </c>
      <c r="D25" s="8" t="s">
        <v>111</v>
      </c>
      <c r="E25" s="22" t="s">
        <v>124</v>
      </c>
      <c r="F25" s="8" t="s">
        <v>125</v>
      </c>
      <c r="G25" s="28" t="n">
        <f aca="false">COUNTIF('Screen List'!$B:$B,A25)</f>
        <v>1</v>
      </c>
      <c r="H25" s="8" t="s">
        <v>126</v>
      </c>
      <c r="I25" s="35" t="s">
        <v>71</v>
      </c>
      <c r="J25" s="29" t="n">
        <v>1</v>
      </c>
      <c r="K25" s="9" t="n">
        <f aca="false">WORKDAY(L24,1,Holidays)</f>
        <v>46358</v>
      </c>
      <c r="L25" s="9" t="n">
        <f aca="false">WORKDAY(K25,MAX(J25,1)-1,Holidays)</f>
        <v>46358</v>
      </c>
      <c r="M25" s="30"/>
      <c r="N25" s="31" t="s">
        <v>53</v>
      </c>
      <c r="O25" s="32"/>
      <c r="P25" s="32"/>
      <c r="Q25" s="30"/>
    </row>
    <row r="26" customFormat="false" ht="15" hidden="false" customHeight="false" outlineLevel="0" collapsed="false">
      <c r="A26" s="36" t="s">
        <v>127</v>
      </c>
      <c r="B26" s="37" t="s">
        <v>17</v>
      </c>
      <c r="C26" s="13" t="s">
        <v>18</v>
      </c>
      <c r="D26" s="8" t="s">
        <v>111</v>
      </c>
      <c r="E26" s="22" t="s">
        <v>128</v>
      </c>
      <c r="F26" s="8" t="s">
        <v>129</v>
      </c>
      <c r="G26" s="28" t="n">
        <f aca="false">COUNTIF('Screen List'!$B:$B,A26)</f>
        <v>1</v>
      </c>
      <c r="H26" s="8" t="s">
        <v>130</v>
      </c>
      <c r="I26" s="35" t="s">
        <v>71</v>
      </c>
      <c r="J26" s="29" t="n">
        <v>1</v>
      </c>
      <c r="K26" s="9" t="n">
        <f aca="false">WORKDAY(L25,1,Holidays)</f>
        <v>46359</v>
      </c>
      <c r="L26" s="9" t="n">
        <f aca="false">WORKDAY(K26,MAX(J26,1)-1,Holidays)</f>
        <v>46359</v>
      </c>
      <c r="M26" s="30"/>
      <c r="N26" s="31" t="s">
        <v>53</v>
      </c>
      <c r="O26" s="32"/>
      <c r="P26" s="32"/>
      <c r="Q26" s="30"/>
    </row>
    <row r="27" customFormat="false" ht="15" hidden="false" customHeight="false" outlineLevel="0" collapsed="false">
      <c r="A27" s="36" t="s">
        <v>131</v>
      </c>
      <c r="B27" s="37" t="s">
        <v>17</v>
      </c>
      <c r="C27" s="13" t="s">
        <v>18</v>
      </c>
      <c r="D27" s="8" t="s">
        <v>111</v>
      </c>
      <c r="E27" s="22" t="s">
        <v>132</v>
      </c>
      <c r="F27" s="8" t="s">
        <v>133</v>
      </c>
      <c r="G27" s="28" t="n">
        <f aca="false">COUNTIF('Screen List'!$B:$B,A27)</f>
        <v>1</v>
      </c>
      <c r="H27" s="8" t="s">
        <v>134</v>
      </c>
      <c r="I27" s="35" t="s">
        <v>71</v>
      </c>
      <c r="J27" s="29" t="n">
        <v>2</v>
      </c>
      <c r="K27" s="9" t="n">
        <f aca="false">WORKDAY(L26,1,Holidays)</f>
        <v>46360</v>
      </c>
      <c r="L27" s="9" t="n">
        <f aca="false">WORKDAY(K27,MAX(J27,1)-1,Holidays)</f>
        <v>46363</v>
      </c>
      <c r="M27" s="30"/>
      <c r="N27" s="31" t="s">
        <v>53</v>
      </c>
      <c r="O27" s="32"/>
      <c r="P27" s="32"/>
      <c r="Q27" s="30"/>
    </row>
    <row r="28" customFormat="false" ht="15" hidden="false" customHeight="false" outlineLevel="0" collapsed="false">
      <c r="A28" s="36" t="s">
        <v>135</v>
      </c>
      <c r="B28" s="37" t="s">
        <v>17</v>
      </c>
      <c r="C28" s="13" t="s">
        <v>18</v>
      </c>
      <c r="D28" s="8" t="s">
        <v>111</v>
      </c>
      <c r="E28" s="22" t="s">
        <v>136</v>
      </c>
      <c r="F28" s="8" t="s">
        <v>137</v>
      </c>
      <c r="G28" s="28" t="n">
        <f aca="false">COUNTIF('Screen List'!$B:$B,A28)</f>
        <v>1</v>
      </c>
      <c r="H28" s="8" t="s">
        <v>138</v>
      </c>
      <c r="I28" s="35" t="s">
        <v>71</v>
      </c>
      <c r="J28" s="29" t="n">
        <v>1</v>
      </c>
      <c r="K28" s="9" t="n">
        <f aca="false">WORKDAY(L27,1,Holidays)</f>
        <v>46365</v>
      </c>
      <c r="L28" s="9" t="n">
        <f aca="false">WORKDAY(K28,MAX(J28,1)-1,Holidays)</f>
        <v>46365</v>
      </c>
      <c r="M28" s="30"/>
      <c r="N28" s="31" t="s">
        <v>53</v>
      </c>
      <c r="O28" s="32"/>
      <c r="P28" s="32"/>
      <c r="Q28" s="30"/>
    </row>
    <row r="29" customFormat="false" ht="35.05" hidden="false" customHeight="false" outlineLevel="0" collapsed="false">
      <c r="A29" s="36" t="s">
        <v>139</v>
      </c>
      <c r="B29" s="37" t="s">
        <v>17</v>
      </c>
      <c r="C29" s="13" t="s">
        <v>18</v>
      </c>
      <c r="D29" s="8" t="s">
        <v>140</v>
      </c>
      <c r="E29" s="22" t="s">
        <v>141</v>
      </c>
      <c r="F29" s="8" t="s">
        <v>142</v>
      </c>
      <c r="G29" s="28" t="n">
        <f aca="false">COUNTIF('Screen List'!$B:$B,A29)</f>
        <v>3</v>
      </c>
      <c r="H29" s="8" t="s">
        <v>143</v>
      </c>
      <c r="I29" s="35" t="s">
        <v>71</v>
      </c>
      <c r="J29" s="29" t="n">
        <v>2</v>
      </c>
      <c r="K29" s="9" t="n">
        <f aca="false">WORKDAY(L28,1,Holidays)</f>
        <v>46366</v>
      </c>
      <c r="L29" s="9" t="n">
        <f aca="false">WORKDAY(K29,MAX(J29,1)-1,Holidays)</f>
        <v>46367</v>
      </c>
      <c r="M29" s="30"/>
      <c r="N29" s="31" t="s">
        <v>53</v>
      </c>
      <c r="O29" s="32"/>
      <c r="P29" s="32"/>
      <c r="Q29" s="30"/>
    </row>
    <row r="30" customFormat="false" ht="15" hidden="false" customHeight="false" outlineLevel="0" collapsed="false">
      <c r="A30" s="36" t="s">
        <v>144</v>
      </c>
      <c r="B30" s="37" t="s">
        <v>17</v>
      </c>
      <c r="C30" s="13" t="s">
        <v>18</v>
      </c>
      <c r="D30" s="8" t="s">
        <v>140</v>
      </c>
      <c r="E30" s="22" t="s">
        <v>145</v>
      </c>
      <c r="F30" s="8" t="s">
        <v>146</v>
      </c>
      <c r="G30" s="28" t="n">
        <f aca="false">COUNTIF('Screen List'!$B:$B,A30)</f>
        <v>1</v>
      </c>
      <c r="H30" s="8" t="s">
        <v>147</v>
      </c>
      <c r="I30" s="35" t="s">
        <v>71</v>
      </c>
      <c r="J30" s="29" t="n">
        <v>3</v>
      </c>
      <c r="K30" s="9" t="n">
        <f aca="false">WORKDAY(L29,1,Holidays)</f>
        <v>46370</v>
      </c>
      <c r="L30" s="9" t="n">
        <f aca="false">WORKDAY(K30,MAX(J30,1)-1,Holidays)</f>
        <v>46372</v>
      </c>
      <c r="M30" s="30"/>
      <c r="N30" s="31" t="s">
        <v>53</v>
      </c>
      <c r="O30" s="32"/>
      <c r="P30" s="32"/>
      <c r="Q30" s="30"/>
    </row>
    <row r="31" customFormat="false" ht="15" hidden="false" customHeight="false" outlineLevel="0" collapsed="false">
      <c r="A31" s="36" t="s">
        <v>148</v>
      </c>
      <c r="B31" s="37" t="s">
        <v>17</v>
      </c>
      <c r="C31" s="13" t="s">
        <v>18</v>
      </c>
      <c r="D31" s="8" t="s">
        <v>140</v>
      </c>
      <c r="E31" s="22" t="s">
        <v>149</v>
      </c>
      <c r="F31" s="8" t="s">
        <v>150</v>
      </c>
      <c r="G31" s="28" t="n">
        <f aca="false">COUNTIF('Screen List'!$B:$B,A31)</f>
        <v>1</v>
      </c>
      <c r="H31" s="8" t="s">
        <v>151</v>
      </c>
      <c r="I31" s="35" t="s">
        <v>71</v>
      </c>
      <c r="J31" s="29" t="n">
        <v>1</v>
      </c>
      <c r="K31" s="9" t="n">
        <f aca="false">WORKDAY(L30,1,Holidays)</f>
        <v>46373</v>
      </c>
      <c r="L31" s="9" t="n">
        <f aca="false">WORKDAY(K31,MAX(J31,1)-1,Holidays)</f>
        <v>46373</v>
      </c>
      <c r="M31" s="30"/>
      <c r="N31" s="31" t="s">
        <v>53</v>
      </c>
      <c r="O31" s="32"/>
      <c r="P31" s="32"/>
      <c r="Q31" s="30"/>
    </row>
    <row r="32" customFormat="false" ht="15" hidden="false" customHeight="false" outlineLevel="0" collapsed="false">
      <c r="A32" s="36" t="s">
        <v>152</v>
      </c>
      <c r="B32" s="37" t="s">
        <v>17</v>
      </c>
      <c r="C32" s="13" t="s">
        <v>18</v>
      </c>
      <c r="D32" s="8" t="s">
        <v>140</v>
      </c>
      <c r="E32" s="22" t="s">
        <v>153</v>
      </c>
      <c r="F32" s="8" t="s">
        <v>154</v>
      </c>
      <c r="G32" s="28" t="n">
        <f aca="false">COUNTIF('Screen List'!$B:$B,A32)</f>
        <v>1</v>
      </c>
      <c r="H32" s="8" t="s">
        <v>155</v>
      </c>
      <c r="I32" s="35" t="s">
        <v>71</v>
      </c>
      <c r="J32" s="29" t="n">
        <v>1</v>
      </c>
      <c r="K32" s="9" t="n">
        <f aca="false">WORKDAY(L31,1,Holidays)</f>
        <v>46374</v>
      </c>
      <c r="L32" s="9" t="n">
        <f aca="false">WORKDAY(K32,MAX(J32,1)-1,Holidays)</f>
        <v>46374</v>
      </c>
      <c r="M32" s="30"/>
      <c r="N32" s="31" t="s">
        <v>53</v>
      </c>
      <c r="O32" s="32"/>
      <c r="P32" s="32"/>
      <c r="Q32" s="30"/>
    </row>
    <row r="33" customFormat="false" ht="15" hidden="false" customHeight="false" outlineLevel="0" collapsed="false">
      <c r="A33" s="36" t="s">
        <v>156</v>
      </c>
      <c r="B33" s="37" t="s">
        <v>17</v>
      </c>
      <c r="C33" s="13" t="s">
        <v>18</v>
      </c>
      <c r="D33" s="8" t="s">
        <v>140</v>
      </c>
      <c r="E33" s="22" t="s">
        <v>157</v>
      </c>
      <c r="F33" s="8" t="s">
        <v>158</v>
      </c>
      <c r="G33" s="28" t="n">
        <f aca="false">COUNTIF('Screen List'!$B:$B,A33)</f>
        <v>1</v>
      </c>
      <c r="H33" s="8" t="s">
        <v>159</v>
      </c>
      <c r="I33" s="35" t="s">
        <v>71</v>
      </c>
      <c r="J33" s="29" t="n">
        <v>1</v>
      </c>
      <c r="K33" s="9" t="n">
        <f aca="false">WORKDAY(L32,1,Holidays)</f>
        <v>46377</v>
      </c>
      <c r="L33" s="9" t="n">
        <f aca="false">WORKDAY(K33,MAX(J33,1)-1,Holidays)</f>
        <v>46377</v>
      </c>
      <c r="M33" s="30"/>
      <c r="N33" s="31" t="s">
        <v>53</v>
      </c>
      <c r="O33" s="32"/>
      <c r="P33" s="32"/>
      <c r="Q33" s="30"/>
    </row>
    <row r="34" customFormat="false" ht="23.85" hidden="false" customHeight="false" outlineLevel="0" collapsed="false">
      <c r="A34" s="36" t="s">
        <v>160</v>
      </c>
      <c r="B34" s="37" t="s">
        <v>17</v>
      </c>
      <c r="C34" s="13" t="s">
        <v>18</v>
      </c>
      <c r="D34" s="8" t="s">
        <v>161</v>
      </c>
      <c r="E34" s="22" t="s">
        <v>162</v>
      </c>
      <c r="F34" s="8" t="s">
        <v>163</v>
      </c>
      <c r="G34" s="28" t="n">
        <f aca="false">COUNTIF('Screen List'!$B:$B,A34)</f>
        <v>1</v>
      </c>
      <c r="H34" s="8" t="s">
        <v>164</v>
      </c>
      <c r="I34" s="35" t="s">
        <v>71</v>
      </c>
      <c r="J34" s="29" t="n">
        <v>3</v>
      </c>
      <c r="K34" s="9" t="n">
        <f aca="false">WORKDAY(L33,1,Holidays)</f>
        <v>46378</v>
      </c>
      <c r="L34" s="9" t="n">
        <f aca="false">WORKDAY(K34,MAX(J34,1)-1,Holidays)</f>
        <v>46384</v>
      </c>
      <c r="M34" s="30"/>
      <c r="N34" s="31" t="s">
        <v>53</v>
      </c>
      <c r="O34" s="32"/>
      <c r="P34" s="32"/>
      <c r="Q34" s="30"/>
    </row>
    <row r="35" customFormat="false" ht="15" hidden="false" customHeight="false" outlineLevel="0" collapsed="false">
      <c r="A35" s="36" t="s">
        <v>165</v>
      </c>
      <c r="B35" s="37" t="s">
        <v>17</v>
      </c>
      <c r="C35" s="13" t="s">
        <v>18</v>
      </c>
      <c r="D35" s="8" t="s">
        <v>161</v>
      </c>
      <c r="E35" s="22" t="s">
        <v>166</v>
      </c>
      <c r="F35" s="8" t="s">
        <v>167</v>
      </c>
      <c r="G35" s="28" t="n">
        <f aca="false">COUNTIF('Screen List'!$B:$B,A35)</f>
        <v>1</v>
      </c>
      <c r="H35" s="8" t="s">
        <v>168</v>
      </c>
      <c r="I35" s="35" t="s">
        <v>71</v>
      </c>
      <c r="J35" s="29" t="n">
        <v>1</v>
      </c>
      <c r="K35" s="9" t="n">
        <f aca="false">WORKDAY(L34,1,Holidays)</f>
        <v>46385</v>
      </c>
      <c r="L35" s="9" t="n">
        <f aca="false">WORKDAY(K35,MAX(J35,1)-1,Holidays)</f>
        <v>46385</v>
      </c>
      <c r="M35" s="30"/>
      <c r="N35" s="31" t="s">
        <v>53</v>
      </c>
      <c r="O35" s="32"/>
      <c r="P35" s="32"/>
      <c r="Q35" s="30"/>
    </row>
    <row r="36" customFormat="false" ht="23.85" hidden="false" customHeight="false" outlineLevel="0" collapsed="false">
      <c r="A36" s="30" t="s">
        <v>169</v>
      </c>
      <c r="B36" s="31" t="s">
        <v>20</v>
      </c>
      <c r="C36" s="15" t="s">
        <v>21</v>
      </c>
      <c r="D36" s="8" t="s">
        <v>170</v>
      </c>
      <c r="E36" s="22" t="s">
        <v>171</v>
      </c>
      <c r="F36" s="8" t="s">
        <v>172</v>
      </c>
      <c r="G36" s="28" t="n">
        <f aca="false">COUNTIF('Screen List'!$B:$B,A36)</f>
        <v>1</v>
      </c>
      <c r="H36" s="8" t="s">
        <v>173</v>
      </c>
      <c r="I36" s="35" t="s">
        <v>71</v>
      </c>
      <c r="J36" s="29" t="n">
        <v>3</v>
      </c>
      <c r="K36" s="9" t="n">
        <f aca="false">INDEX('Module Timeline'!$E:$E,MATCH(B36,'Module Timeline'!$A:$A,0))</f>
        <v>46325</v>
      </c>
      <c r="L36" s="9" t="n">
        <f aca="false">WORKDAY(K36,MAX(J36,1)-1,Holidays)</f>
        <v>46330</v>
      </c>
      <c r="M36" s="30"/>
      <c r="N36" s="31" t="s">
        <v>53</v>
      </c>
      <c r="O36" s="32"/>
      <c r="P36" s="32"/>
      <c r="Q36" s="30"/>
    </row>
    <row r="37" customFormat="false" ht="23.85" hidden="false" customHeight="false" outlineLevel="0" collapsed="false">
      <c r="A37" s="30" t="s">
        <v>174</v>
      </c>
      <c r="B37" s="31" t="s">
        <v>20</v>
      </c>
      <c r="C37" s="15" t="s">
        <v>21</v>
      </c>
      <c r="D37" s="8" t="s">
        <v>175</v>
      </c>
      <c r="E37" s="22" t="s">
        <v>176</v>
      </c>
      <c r="F37" s="8" t="s">
        <v>177</v>
      </c>
      <c r="G37" s="28" t="n">
        <f aca="false">COUNTIF('Screen List'!$B:$B,A37)</f>
        <v>1</v>
      </c>
      <c r="H37" s="8" t="s">
        <v>178</v>
      </c>
      <c r="I37" s="35" t="s">
        <v>71</v>
      </c>
      <c r="J37" s="29" t="n">
        <v>3</v>
      </c>
      <c r="K37" s="9" t="n">
        <f aca="false">WORKDAY(L36,1,Holidays)</f>
        <v>46331</v>
      </c>
      <c r="L37" s="9" t="n">
        <f aca="false">WORKDAY(K37,MAX(J37,1)-1,Holidays)</f>
        <v>46335</v>
      </c>
      <c r="M37" s="30"/>
      <c r="N37" s="31" t="s">
        <v>53</v>
      </c>
      <c r="O37" s="32"/>
      <c r="P37" s="32"/>
      <c r="Q37" s="30"/>
    </row>
    <row r="38" customFormat="false" ht="15" hidden="false" customHeight="false" outlineLevel="0" collapsed="false">
      <c r="A38" s="30" t="s">
        <v>179</v>
      </c>
      <c r="B38" s="31" t="s">
        <v>20</v>
      </c>
      <c r="C38" s="15" t="s">
        <v>21</v>
      </c>
      <c r="D38" s="8" t="s">
        <v>175</v>
      </c>
      <c r="E38" s="22" t="s">
        <v>180</v>
      </c>
      <c r="F38" s="8" t="s">
        <v>181</v>
      </c>
      <c r="G38" s="28" t="n">
        <f aca="false">COUNTIF('Screen List'!$B:$B,A38)</f>
        <v>1</v>
      </c>
      <c r="H38" s="8" t="s">
        <v>182</v>
      </c>
      <c r="I38" s="35" t="s">
        <v>71</v>
      </c>
      <c r="J38" s="29" t="n">
        <v>1</v>
      </c>
      <c r="K38" s="9" t="n">
        <f aca="false">WORKDAY(L37,1,Holidays)</f>
        <v>46336</v>
      </c>
      <c r="L38" s="9" t="n">
        <f aca="false">WORKDAY(K38,MAX(J38,1)-1,Holidays)</f>
        <v>46336</v>
      </c>
      <c r="M38" s="30"/>
      <c r="N38" s="31" t="s">
        <v>53</v>
      </c>
      <c r="O38" s="32"/>
      <c r="P38" s="32"/>
      <c r="Q38" s="30"/>
    </row>
    <row r="39" customFormat="false" ht="23.85" hidden="false" customHeight="false" outlineLevel="0" collapsed="false">
      <c r="A39" s="30" t="s">
        <v>183</v>
      </c>
      <c r="B39" s="31" t="s">
        <v>20</v>
      </c>
      <c r="C39" s="15" t="s">
        <v>21</v>
      </c>
      <c r="D39" s="8" t="s">
        <v>175</v>
      </c>
      <c r="E39" s="22" t="s">
        <v>184</v>
      </c>
      <c r="F39" s="8" t="s">
        <v>185</v>
      </c>
      <c r="G39" s="28" t="n">
        <f aca="false">COUNTIF('Screen List'!$B:$B,A39)</f>
        <v>1</v>
      </c>
      <c r="H39" s="8" t="s">
        <v>186</v>
      </c>
      <c r="I39" s="35" t="s">
        <v>71</v>
      </c>
      <c r="J39" s="29" t="n">
        <v>3</v>
      </c>
      <c r="K39" s="9" t="n">
        <f aca="false">WORKDAY(L38,1,Holidays)</f>
        <v>46337</v>
      </c>
      <c r="L39" s="9" t="n">
        <f aca="false">WORKDAY(K39,MAX(J39,1)-1,Holidays)</f>
        <v>46339</v>
      </c>
      <c r="M39" s="30"/>
      <c r="N39" s="31" t="s">
        <v>53</v>
      </c>
      <c r="O39" s="32"/>
      <c r="P39" s="32"/>
      <c r="Q39" s="30"/>
    </row>
    <row r="40" customFormat="false" ht="15" hidden="false" customHeight="false" outlineLevel="0" collapsed="false">
      <c r="A40" s="30" t="s">
        <v>187</v>
      </c>
      <c r="B40" s="31" t="s">
        <v>20</v>
      </c>
      <c r="C40" s="15" t="s">
        <v>21</v>
      </c>
      <c r="D40" s="8" t="s">
        <v>175</v>
      </c>
      <c r="E40" s="22" t="s">
        <v>188</v>
      </c>
      <c r="F40" s="8" t="s">
        <v>189</v>
      </c>
      <c r="G40" s="28" t="n">
        <f aca="false">COUNTIF('Screen List'!$B:$B,A40)</f>
        <v>1</v>
      </c>
      <c r="H40" s="8" t="s">
        <v>190</v>
      </c>
      <c r="I40" s="35" t="s">
        <v>71</v>
      </c>
      <c r="J40" s="29" t="n">
        <v>2</v>
      </c>
      <c r="K40" s="9" t="n">
        <f aca="false">WORKDAY(L39,1,Holidays)</f>
        <v>46342</v>
      </c>
      <c r="L40" s="9" t="n">
        <f aca="false">WORKDAY(K40,MAX(J40,1)-1,Holidays)</f>
        <v>46343</v>
      </c>
      <c r="M40" s="30"/>
      <c r="N40" s="31" t="s">
        <v>53</v>
      </c>
      <c r="O40" s="32"/>
      <c r="P40" s="32"/>
      <c r="Q40" s="30"/>
    </row>
    <row r="41" customFormat="false" ht="15" hidden="false" customHeight="false" outlineLevel="0" collapsed="false">
      <c r="A41" s="30" t="s">
        <v>191</v>
      </c>
      <c r="B41" s="31" t="s">
        <v>20</v>
      </c>
      <c r="C41" s="15" t="s">
        <v>21</v>
      </c>
      <c r="D41" s="8" t="s">
        <v>175</v>
      </c>
      <c r="E41" s="22" t="s">
        <v>192</v>
      </c>
      <c r="F41" s="8" t="s">
        <v>193</v>
      </c>
      <c r="G41" s="28" t="n">
        <f aca="false">COUNTIF('Screen List'!$B:$B,A41)</f>
        <v>1</v>
      </c>
      <c r="H41" s="8" t="s">
        <v>194</v>
      </c>
      <c r="I41" s="35" t="s">
        <v>71</v>
      </c>
      <c r="J41" s="29" t="n">
        <v>1</v>
      </c>
      <c r="K41" s="9" t="n">
        <f aca="false">WORKDAY(L40,1,Holidays)</f>
        <v>46344</v>
      </c>
      <c r="L41" s="9" t="n">
        <f aca="false">WORKDAY(K41,MAX(J41,1)-1,Holidays)</f>
        <v>46344</v>
      </c>
      <c r="M41" s="30"/>
      <c r="N41" s="31" t="s">
        <v>53</v>
      </c>
      <c r="O41" s="32"/>
      <c r="P41" s="32"/>
      <c r="Q41" s="30"/>
    </row>
    <row r="42" customFormat="false" ht="23.85" hidden="false" customHeight="false" outlineLevel="0" collapsed="false">
      <c r="A42" s="30" t="s">
        <v>195</v>
      </c>
      <c r="B42" s="31" t="s">
        <v>20</v>
      </c>
      <c r="C42" s="15" t="s">
        <v>21</v>
      </c>
      <c r="D42" s="8" t="s">
        <v>196</v>
      </c>
      <c r="E42" s="22" t="s">
        <v>197</v>
      </c>
      <c r="F42" s="8" t="s">
        <v>198</v>
      </c>
      <c r="G42" s="28" t="n">
        <f aca="false">COUNTIF('Screen List'!$B:$B,A42)</f>
        <v>0</v>
      </c>
      <c r="H42" s="8" t="s">
        <v>52</v>
      </c>
      <c r="I42" s="28"/>
      <c r="J42" s="29" t="n">
        <v>2</v>
      </c>
      <c r="K42" s="9" t="n">
        <f aca="false">WORKDAY(L41,1,Holidays)</f>
        <v>46345</v>
      </c>
      <c r="L42" s="9" t="n">
        <f aca="false">WORKDAY(K42,MAX(J42,1)-1,Holidays)</f>
        <v>46346</v>
      </c>
      <c r="M42" s="30"/>
      <c r="N42" s="31" t="s">
        <v>53</v>
      </c>
      <c r="O42" s="32"/>
      <c r="P42" s="32"/>
      <c r="Q42" s="30"/>
    </row>
    <row r="43" customFormat="false" ht="23.85" hidden="false" customHeight="false" outlineLevel="0" collapsed="false">
      <c r="A43" s="30" t="s">
        <v>199</v>
      </c>
      <c r="B43" s="31" t="s">
        <v>20</v>
      </c>
      <c r="C43" s="15" t="s">
        <v>21</v>
      </c>
      <c r="D43" s="8" t="s">
        <v>196</v>
      </c>
      <c r="E43" s="22" t="s">
        <v>200</v>
      </c>
      <c r="F43" s="8" t="s">
        <v>201</v>
      </c>
      <c r="G43" s="28" t="n">
        <f aca="false">COUNTIF('Screen List'!$B:$B,A43)</f>
        <v>0</v>
      </c>
      <c r="H43" s="8" t="s">
        <v>52</v>
      </c>
      <c r="I43" s="28"/>
      <c r="J43" s="29" t="n">
        <v>2</v>
      </c>
      <c r="K43" s="9" t="n">
        <f aca="false">WORKDAY(L42,1,Holidays)</f>
        <v>46349</v>
      </c>
      <c r="L43" s="9" t="n">
        <f aca="false">WORKDAY(K43,MAX(J43,1)-1,Holidays)</f>
        <v>46350</v>
      </c>
      <c r="M43" s="30"/>
      <c r="N43" s="31" t="s">
        <v>53</v>
      </c>
      <c r="O43" s="32"/>
      <c r="P43" s="32"/>
      <c r="Q43" s="30"/>
    </row>
    <row r="44" customFormat="false" ht="23.85" hidden="false" customHeight="false" outlineLevel="0" collapsed="false">
      <c r="A44" s="30" t="s">
        <v>202</v>
      </c>
      <c r="B44" s="31" t="s">
        <v>20</v>
      </c>
      <c r="C44" s="15" t="s">
        <v>21</v>
      </c>
      <c r="D44" s="8" t="s">
        <v>196</v>
      </c>
      <c r="E44" s="22" t="s">
        <v>203</v>
      </c>
      <c r="F44" s="8" t="s">
        <v>204</v>
      </c>
      <c r="G44" s="28" t="n">
        <f aca="false">COUNTIF('Screen List'!$B:$B,A44)</f>
        <v>0</v>
      </c>
      <c r="H44" s="8" t="s">
        <v>52</v>
      </c>
      <c r="I44" s="28"/>
      <c r="J44" s="29" t="n">
        <v>1</v>
      </c>
      <c r="K44" s="9" t="n">
        <f aca="false">WORKDAY(L43,1,Holidays)</f>
        <v>46351</v>
      </c>
      <c r="L44" s="9" t="n">
        <f aca="false">WORKDAY(K44,MAX(J44,1)-1,Holidays)</f>
        <v>46351</v>
      </c>
      <c r="M44" s="30"/>
      <c r="N44" s="31" t="s">
        <v>53</v>
      </c>
      <c r="O44" s="32"/>
      <c r="P44" s="32"/>
      <c r="Q44" s="30"/>
    </row>
    <row r="45" customFormat="false" ht="15" hidden="false" customHeight="false" outlineLevel="0" collapsed="false">
      <c r="A45" s="30" t="s">
        <v>205</v>
      </c>
      <c r="B45" s="31" t="s">
        <v>20</v>
      </c>
      <c r="C45" s="15" t="s">
        <v>21</v>
      </c>
      <c r="D45" s="8" t="s">
        <v>196</v>
      </c>
      <c r="E45" s="22" t="s">
        <v>206</v>
      </c>
      <c r="F45" s="8" t="s">
        <v>207</v>
      </c>
      <c r="G45" s="28" t="n">
        <f aca="false">COUNTIF('Screen List'!$B:$B,A45)</f>
        <v>0</v>
      </c>
      <c r="H45" s="8" t="s">
        <v>52</v>
      </c>
      <c r="I45" s="28"/>
      <c r="J45" s="29" t="n">
        <v>2</v>
      </c>
      <c r="K45" s="9" t="n">
        <f aca="false">WORKDAY(L44,1,Holidays)</f>
        <v>46352</v>
      </c>
      <c r="L45" s="9" t="n">
        <f aca="false">WORKDAY(K45,MAX(J45,1)-1,Holidays)</f>
        <v>46353</v>
      </c>
      <c r="M45" s="30"/>
      <c r="N45" s="31" t="s">
        <v>53</v>
      </c>
      <c r="O45" s="32"/>
      <c r="P45" s="32"/>
      <c r="Q45" s="30"/>
    </row>
    <row r="46" customFormat="false" ht="23.85" hidden="false" customHeight="false" outlineLevel="0" collapsed="false">
      <c r="A46" s="30" t="s">
        <v>208</v>
      </c>
      <c r="B46" s="31" t="s">
        <v>20</v>
      </c>
      <c r="C46" s="15" t="s">
        <v>21</v>
      </c>
      <c r="D46" s="8" t="s">
        <v>209</v>
      </c>
      <c r="E46" s="22" t="s">
        <v>210</v>
      </c>
      <c r="F46" s="8" t="s">
        <v>211</v>
      </c>
      <c r="G46" s="28" t="n">
        <f aca="false">COUNTIF('Screen List'!$B:$B,A46)</f>
        <v>1</v>
      </c>
      <c r="H46" s="8" t="s">
        <v>212</v>
      </c>
      <c r="I46" s="35" t="s">
        <v>71</v>
      </c>
      <c r="J46" s="29" t="n">
        <v>2</v>
      </c>
      <c r="K46" s="9" t="n">
        <f aca="false">WORKDAY(L45,1,Holidays)</f>
        <v>46357</v>
      </c>
      <c r="L46" s="9" t="n">
        <f aca="false">WORKDAY(K46,MAX(J46,1)-1,Holidays)</f>
        <v>46358</v>
      </c>
      <c r="M46" s="30"/>
      <c r="N46" s="31" t="s">
        <v>53</v>
      </c>
      <c r="O46" s="32"/>
      <c r="P46" s="32"/>
      <c r="Q46" s="30"/>
    </row>
    <row r="47" customFormat="false" ht="15" hidden="false" customHeight="false" outlineLevel="0" collapsed="false">
      <c r="A47" s="30" t="s">
        <v>213</v>
      </c>
      <c r="B47" s="31" t="s">
        <v>20</v>
      </c>
      <c r="C47" s="15" t="s">
        <v>21</v>
      </c>
      <c r="D47" s="8" t="s">
        <v>209</v>
      </c>
      <c r="E47" s="22" t="s">
        <v>214</v>
      </c>
      <c r="F47" s="8" t="s">
        <v>215</v>
      </c>
      <c r="G47" s="28" t="n">
        <f aca="false">COUNTIF('Screen List'!$B:$B,A47)</f>
        <v>1</v>
      </c>
      <c r="H47" s="8" t="s">
        <v>216</v>
      </c>
      <c r="I47" s="35" t="s">
        <v>71</v>
      </c>
      <c r="J47" s="29" t="n">
        <v>2</v>
      </c>
      <c r="K47" s="9" t="n">
        <f aca="false">WORKDAY(L46,1,Holidays)</f>
        <v>46359</v>
      </c>
      <c r="L47" s="9" t="n">
        <f aca="false">WORKDAY(K47,MAX(J47,1)-1,Holidays)</f>
        <v>46360</v>
      </c>
      <c r="M47" s="30"/>
      <c r="N47" s="31" t="s">
        <v>53</v>
      </c>
      <c r="O47" s="32"/>
      <c r="P47" s="32"/>
      <c r="Q47" s="30"/>
    </row>
    <row r="48" customFormat="false" ht="23.85" hidden="false" customHeight="false" outlineLevel="0" collapsed="false">
      <c r="A48" s="30" t="s">
        <v>217</v>
      </c>
      <c r="B48" s="31" t="s">
        <v>20</v>
      </c>
      <c r="C48" s="15" t="s">
        <v>21</v>
      </c>
      <c r="D48" s="8" t="s">
        <v>218</v>
      </c>
      <c r="E48" s="22" t="s">
        <v>219</v>
      </c>
      <c r="F48" s="8" t="s">
        <v>220</v>
      </c>
      <c r="G48" s="28" t="n">
        <f aca="false">COUNTIF('Screen List'!$B:$B,A48)</f>
        <v>1</v>
      </c>
      <c r="H48" s="8" t="s">
        <v>221</v>
      </c>
      <c r="I48" s="35" t="s">
        <v>71</v>
      </c>
      <c r="J48" s="29" t="n">
        <v>2</v>
      </c>
      <c r="K48" s="9" t="n">
        <f aca="false">WORKDAY(L47,1,Holidays)</f>
        <v>46363</v>
      </c>
      <c r="L48" s="9" t="n">
        <f aca="false">WORKDAY(K48,MAX(J48,1)-1,Holidays)</f>
        <v>46365</v>
      </c>
      <c r="M48" s="30"/>
      <c r="N48" s="31" t="s">
        <v>53</v>
      </c>
      <c r="O48" s="32"/>
      <c r="P48" s="32"/>
      <c r="Q48" s="30"/>
    </row>
    <row r="49" customFormat="false" ht="15" hidden="false" customHeight="false" outlineLevel="0" collapsed="false">
      <c r="A49" s="30" t="s">
        <v>222</v>
      </c>
      <c r="B49" s="31" t="s">
        <v>20</v>
      </c>
      <c r="C49" s="15" t="s">
        <v>21</v>
      </c>
      <c r="D49" s="8" t="s">
        <v>218</v>
      </c>
      <c r="E49" s="22" t="s">
        <v>223</v>
      </c>
      <c r="F49" s="8" t="s">
        <v>224</v>
      </c>
      <c r="G49" s="28" t="n">
        <f aca="false">COUNTIF('Screen List'!$B:$B,A49)</f>
        <v>1</v>
      </c>
      <c r="H49" s="8" t="s">
        <v>225</v>
      </c>
      <c r="I49" s="35" t="s">
        <v>71</v>
      </c>
      <c r="J49" s="29" t="n">
        <v>3</v>
      </c>
      <c r="K49" s="9" t="n">
        <f aca="false">WORKDAY(L48,1,Holidays)</f>
        <v>46366</v>
      </c>
      <c r="L49" s="9" t="n">
        <f aca="false">WORKDAY(K49,MAX(J49,1)-1,Holidays)</f>
        <v>46370</v>
      </c>
      <c r="M49" s="30"/>
      <c r="N49" s="31" t="s">
        <v>53</v>
      </c>
      <c r="O49" s="32"/>
      <c r="P49" s="32"/>
      <c r="Q49" s="30"/>
    </row>
    <row r="50" customFormat="false" ht="23.85" hidden="false" customHeight="false" outlineLevel="0" collapsed="false">
      <c r="A50" s="30" t="s">
        <v>226</v>
      </c>
      <c r="B50" s="31" t="s">
        <v>20</v>
      </c>
      <c r="C50" s="15" t="s">
        <v>21</v>
      </c>
      <c r="D50" s="8" t="s">
        <v>227</v>
      </c>
      <c r="E50" s="22" t="s">
        <v>228</v>
      </c>
      <c r="F50" s="8" t="s">
        <v>229</v>
      </c>
      <c r="G50" s="28" t="n">
        <f aca="false">COUNTIF('Screen List'!$B:$B,A50)</f>
        <v>1</v>
      </c>
      <c r="H50" s="8" t="s">
        <v>230</v>
      </c>
      <c r="I50" s="35" t="s">
        <v>71</v>
      </c>
      <c r="J50" s="29" t="n">
        <v>5</v>
      </c>
      <c r="K50" s="9" t="n">
        <f aca="false">WORKDAY(L49,1,Holidays)</f>
        <v>46371</v>
      </c>
      <c r="L50" s="9" t="n">
        <f aca="false">WORKDAY(K50,MAX(J50,1)-1,Holidays)</f>
        <v>46377</v>
      </c>
      <c r="M50" s="30"/>
      <c r="N50" s="31" t="s">
        <v>53</v>
      </c>
      <c r="O50" s="32"/>
      <c r="P50" s="32"/>
      <c r="Q50" s="30"/>
    </row>
    <row r="51" customFormat="false" ht="23.85" hidden="false" customHeight="false" outlineLevel="0" collapsed="false">
      <c r="A51" s="30" t="s">
        <v>231</v>
      </c>
      <c r="B51" s="31" t="s">
        <v>20</v>
      </c>
      <c r="C51" s="15" t="s">
        <v>21</v>
      </c>
      <c r="D51" s="8" t="s">
        <v>227</v>
      </c>
      <c r="E51" s="22" t="s">
        <v>232</v>
      </c>
      <c r="F51" s="8" t="s">
        <v>233</v>
      </c>
      <c r="G51" s="28" t="n">
        <f aca="false">COUNTIF('Screen List'!$B:$B,A51)</f>
        <v>1</v>
      </c>
      <c r="H51" s="8" t="s">
        <v>234</v>
      </c>
      <c r="I51" s="35" t="s">
        <v>71</v>
      </c>
      <c r="J51" s="29" t="n">
        <v>3</v>
      </c>
      <c r="K51" s="9" t="n">
        <f aca="false">WORKDAY(L50,1,Holidays)</f>
        <v>46378</v>
      </c>
      <c r="L51" s="9" t="n">
        <f aca="false">WORKDAY(K51,MAX(J51,1)-1,Holidays)</f>
        <v>46384</v>
      </c>
      <c r="M51" s="30"/>
      <c r="N51" s="31" t="s">
        <v>53</v>
      </c>
      <c r="O51" s="32"/>
      <c r="P51" s="32"/>
      <c r="Q51" s="30"/>
    </row>
    <row r="52" customFormat="false" ht="15" hidden="false" customHeight="false" outlineLevel="0" collapsed="false">
      <c r="A52" s="30" t="s">
        <v>235</v>
      </c>
      <c r="B52" s="31" t="s">
        <v>20</v>
      </c>
      <c r="C52" s="15" t="s">
        <v>21</v>
      </c>
      <c r="D52" s="8" t="s">
        <v>227</v>
      </c>
      <c r="E52" s="22" t="s">
        <v>236</v>
      </c>
      <c r="F52" s="8" t="s">
        <v>237</v>
      </c>
      <c r="G52" s="28" t="n">
        <f aca="false">COUNTIF('Screen List'!$B:$B,A52)</f>
        <v>1</v>
      </c>
      <c r="H52" s="8" t="s">
        <v>238</v>
      </c>
      <c r="I52" s="35" t="s">
        <v>71</v>
      </c>
      <c r="J52" s="29" t="n">
        <v>3</v>
      </c>
      <c r="K52" s="9" t="n">
        <f aca="false">WORKDAY(L51,1,Holidays)</f>
        <v>46385</v>
      </c>
      <c r="L52" s="9" t="n">
        <f aca="false">WORKDAY(K52,MAX(J52,1)-1,Holidays)</f>
        <v>46392</v>
      </c>
      <c r="M52" s="30"/>
      <c r="N52" s="31" t="s">
        <v>53</v>
      </c>
      <c r="O52" s="32"/>
      <c r="P52" s="32"/>
      <c r="Q52" s="30"/>
    </row>
    <row r="53" customFormat="false" ht="23.85" hidden="false" customHeight="false" outlineLevel="0" collapsed="false">
      <c r="A53" s="30" t="s">
        <v>239</v>
      </c>
      <c r="B53" s="31" t="s">
        <v>20</v>
      </c>
      <c r="C53" s="15" t="s">
        <v>21</v>
      </c>
      <c r="D53" s="8" t="s">
        <v>240</v>
      </c>
      <c r="E53" s="22" t="s">
        <v>241</v>
      </c>
      <c r="F53" s="8" t="s">
        <v>242</v>
      </c>
      <c r="G53" s="28" t="n">
        <f aca="false">COUNTIF('Screen List'!$B:$B,A53)</f>
        <v>1</v>
      </c>
      <c r="H53" s="8" t="s">
        <v>243</v>
      </c>
      <c r="I53" s="35" t="s">
        <v>71</v>
      </c>
      <c r="J53" s="29" t="n">
        <v>3</v>
      </c>
      <c r="K53" s="9" t="n">
        <f aca="false">WORKDAY(L52,1,Holidays)</f>
        <v>46393</v>
      </c>
      <c r="L53" s="9" t="n">
        <f aca="false">WORKDAY(K53,MAX(J53,1)-1,Holidays)</f>
        <v>46395</v>
      </c>
      <c r="M53" s="30"/>
      <c r="N53" s="31" t="s">
        <v>53</v>
      </c>
      <c r="O53" s="32"/>
      <c r="P53" s="32"/>
      <c r="Q53" s="30"/>
    </row>
    <row r="54" customFormat="false" ht="23.85" hidden="false" customHeight="false" outlineLevel="0" collapsed="false">
      <c r="A54" s="30" t="s">
        <v>244</v>
      </c>
      <c r="B54" s="31" t="s">
        <v>20</v>
      </c>
      <c r="C54" s="15" t="s">
        <v>21</v>
      </c>
      <c r="D54" s="8" t="s">
        <v>240</v>
      </c>
      <c r="E54" s="22" t="s">
        <v>245</v>
      </c>
      <c r="F54" s="8" t="s">
        <v>246</v>
      </c>
      <c r="G54" s="28" t="n">
        <f aca="false">COUNTIF('Screen List'!$B:$B,A54)</f>
        <v>1</v>
      </c>
      <c r="H54" s="8" t="s">
        <v>247</v>
      </c>
      <c r="I54" s="35" t="s">
        <v>71</v>
      </c>
      <c r="J54" s="29" t="n">
        <v>1</v>
      </c>
      <c r="K54" s="9" t="n">
        <f aca="false">WORKDAY(L53,1,Holidays)</f>
        <v>46398</v>
      </c>
      <c r="L54" s="9" t="n">
        <f aca="false">WORKDAY(K54,MAX(J54,1)-1,Holidays)</f>
        <v>46398</v>
      </c>
      <c r="M54" s="30"/>
      <c r="N54" s="31" t="s">
        <v>53</v>
      </c>
      <c r="O54" s="32"/>
      <c r="P54" s="32"/>
      <c r="Q54" s="30"/>
    </row>
    <row r="55" customFormat="false" ht="46.25" hidden="false" customHeight="false" outlineLevel="0" collapsed="false">
      <c r="A55" s="30" t="s">
        <v>248</v>
      </c>
      <c r="B55" s="31" t="s">
        <v>20</v>
      </c>
      <c r="C55" s="15" t="s">
        <v>21</v>
      </c>
      <c r="D55" s="8" t="s">
        <v>240</v>
      </c>
      <c r="E55" s="22" t="s">
        <v>249</v>
      </c>
      <c r="F55" s="8" t="s">
        <v>250</v>
      </c>
      <c r="G55" s="28" t="n">
        <f aca="false">COUNTIF('Screen List'!$B:$B,A55)</f>
        <v>2</v>
      </c>
      <c r="H55" s="8" t="s">
        <v>251</v>
      </c>
      <c r="I55" s="35" t="s">
        <v>71</v>
      </c>
      <c r="J55" s="29" t="n">
        <v>3</v>
      </c>
      <c r="K55" s="9" t="n">
        <f aca="false">WORKDAY(L54,1,Holidays)</f>
        <v>46399</v>
      </c>
      <c r="L55" s="9" t="n">
        <f aca="false">WORKDAY(K55,MAX(J55,1)-1,Holidays)</f>
        <v>46401</v>
      </c>
      <c r="M55" s="30"/>
      <c r="N55" s="31" t="s">
        <v>53</v>
      </c>
      <c r="O55" s="32"/>
      <c r="P55" s="32"/>
      <c r="Q55" s="30"/>
    </row>
    <row r="56" customFormat="false" ht="23.85" hidden="false" customHeight="false" outlineLevel="0" collapsed="false">
      <c r="A56" s="30" t="s">
        <v>252</v>
      </c>
      <c r="B56" s="31" t="s">
        <v>20</v>
      </c>
      <c r="C56" s="15" t="s">
        <v>21</v>
      </c>
      <c r="D56" s="8" t="s">
        <v>240</v>
      </c>
      <c r="E56" s="22" t="s">
        <v>253</v>
      </c>
      <c r="F56" s="8" t="s">
        <v>254</v>
      </c>
      <c r="G56" s="28" t="n">
        <f aca="false">COUNTIF('Screen List'!$B:$B,A56)</f>
        <v>1</v>
      </c>
      <c r="H56" s="8" t="s">
        <v>255</v>
      </c>
      <c r="I56" s="35" t="s">
        <v>71</v>
      </c>
      <c r="J56" s="29" t="n">
        <v>2</v>
      </c>
      <c r="K56" s="9" t="n">
        <f aca="false">WORKDAY(L55,1,Holidays)</f>
        <v>46402</v>
      </c>
      <c r="L56" s="9" t="n">
        <f aca="false">WORKDAY(K56,MAX(J56,1)-1,Holidays)</f>
        <v>46405</v>
      </c>
      <c r="M56" s="30"/>
      <c r="N56" s="31" t="s">
        <v>53</v>
      </c>
      <c r="O56" s="32"/>
      <c r="P56" s="32"/>
      <c r="Q56" s="30"/>
    </row>
    <row r="57" customFormat="false" ht="23.85" hidden="false" customHeight="false" outlineLevel="0" collapsed="false">
      <c r="A57" s="30" t="s">
        <v>256</v>
      </c>
      <c r="B57" s="31" t="s">
        <v>20</v>
      </c>
      <c r="C57" s="15" t="s">
        <v>21</v>
      </c>
      <c r="D57" s="8" t="s">
        <v>240</v>
      </c>
      <c r="E57" s="22" t="s">
        <v>257</v>
      </c>
      <c r="F57" s="8" t="s">
        <v>258</v>
      </c>
      <c r="G57" s="28" t="n">
        <f aca="false">COUNTIF('Screen List'!$B:$B,A57)</f>
        <v>1</v>
      </c>
      <c r="H57" s="8" t="s">
        <v>259</v>
      </c>
      <c r="I57" s="35" t="s">
        <v>71</v>
      </c>
      <c r="J57" s="29" t="n">
        <v>1</v>
      </c>
      <c r="K57" s="9" t="n">
        <f aca="false">WORKDAY(L56,1,Holidays)</f>
        <v>46406</v>
      </c>
      <c r="L57" s="9" t="n">
        <f aca="false">WORKDAY(K57,MAX(J57,1)-1,Holidays)</f>
        <v>46406</v>
      </c>
      <c r="M57" s="30"/>
      <c r="N57" s="31" t="s">
        <v>53</v>
      </c>
      <c r="O57" s="32"/>
      <c r="P57" s="32"/>
      <c r="Q57" s="30"/>
    </row>
    <row r="58" customFormat="false" ht="23.85" hidden="false" customHeight="false" outlineLevel="0" collapsed="false">
      <c r="A58" s="30" t="s">
        <v>260</v>
      </c>
      <c r="B58" s="31" t="s">
        <v>20</v>
      </c>
      <c r="C58" s="15" t="s">
        <v>21</v>
      </c>
      <c r="D58" s="8" t="s">
        <v>240</v>
      </c>
      <c r="E58" s="22" t="s">
        <v>261</v>
      </c>
      <c r="F58" s="8" t="s">
        <v>262</v>
      </c>
      <c r="G58" s="28" t="n">
        <f aca="false">COUNTIF('Screen List'!$B:$B,A58)</f>
        <v>1</v>
      </c>
      <c r="H58" s="8" t="s">
        <v>263</v>
      </c>
      <c r="I58" s="35" t="s">
        <v>71</v>
      </c>
      <c r="J58" s="29" t="n">
        <v>2</v>
      </c>
      <c r="K58" s="9" t="n">
        <f aca="false">WORKDAY(L57,1,Holidays)</f>
        <v>46407</v>
      </c>
      <c r="L58" s="9" t="n">
        <f aca="false">WORKDAY(K58,MAX(J58,1)-1,Holidays)</f>
        <v>46408</v>
      </c>
      <c r="M58" s="30"/>
      <c r="N58" s="31" t="s">
        <v>53</v>
      </c>
      <c r="O58" s="32"/>
      <c r="P58" s="32"/>
      <c r="Q58" s="30"/>
    </row>
    <row r="59" customFormat="false" ht="23.85" hidden="false" customHeight="false" outlineLevel="0" collapsed="false">
      <c r="A59" s="30" t="s">
        <v>264</v>
      </c>
      <c r="B59" s="31" t="s">
        <v>20</v>
      </c>
      <c r="C59" s="15" t="s">
        <v>21</v>
      </c>
      <c r="D59" s="8" t="s">
        <v>240</v>
      </c>
      <c r="E59" s="22" t="s">
        <v>265</v>
      </c>
      <c r="F59" s="8" t="s">
        <v>266</v>
      </c>
      <c r="G59" s="28" t="n">
        <f aca="false">COUNTIF('Screen List'!$B:$B,A59)</f>
        <v>1</v>
      </c>
      <c r="H59" s="8" t="s">
        <v>267</v>
      </c>
      <c r="I59" s="35" t="s">
        <v>71</v>
      </c>
      <c r="J59" s="29" t="n">
        <v>1</v>
      </c>
      <c r="K59" s="9" t="n">
        <f aca="false">WORKDAY(L58,1,Holidays)</f>
        <v>46409</v>
      </c>
      <c r="L59" s="9" t="n">
        <f aca="false">WORKDAY(K59,MAX(J59,1)-1,Holidays)</f>
        <v>46409</v>
      </c>
      <c r="M59" s="30"/>
      <c r="N59" s="31" t="s">
        <v>53</v>
      </c>
      <c r="O59" s="32"/>
      <c r="P59" s="32"/>
      <c r="Q59" s="30"/>
    </row>
    <row r="60" customFormat="false" ht="23.85" hidden="false" customHeight="false" outlineLevel="0" collapsed="false">
      <c r="A60" s="30" t="s">
        <v>268</v>
      </c>
      <c r="B60" s="31" t="s">
        <v>20</v>
      </c>
      <c r="C60" s="15" t="s">
        <v>21</v>
      </c>
      <c r="D60" s="8" t="s">
        <v>240</v>
      </c>
      <c r="E60" s="22" t="s">
        <v>269</v>
      </c>
      <c r="F60" s="8" t="s">
        <v>270</v>
      </c>
      <c r="G60" s="28" t="n">
        <f aca="false">COUNTIF('Screen List'!$B:$B,A60)</f>
        <v>1</v>
      </c>
      <c r="H60" s="8" t="s">
        <v>271</v>
      </c>
      <c r="I60" s="35" t="s">
        <v>71</v>
      </c>
      <c r="J60" s="29" t="n">
        <v>1</v>
      </c>
      <c r="K60" s="9" t="n">
        <f aca="false">WORKDAY(L59,1,Holidays)</f>
        <v>46412</v>
      </c>
      <c r="L60" s="9" t="n">
        <f aca="false">WORKDAY(K60,MAX(J60,1)-1,Holidays)</f>
        <v>46412</v>
      </c>
      <c r="M60" s="30"/>
      <c r="N60" s="31" t="s">
        <v>53</v>
      </c>
      <c r="O60" s="32"/>
      <c r="P60" s="32"/>
      <c r="Q60" s="30"/>
    </row>
    <row r="61" customFormat="false" ht="23.85" hidden="false" customHeight="false" outlineLevel="0" collapsed="false">
      <c r="A61" s="30" t="s">
        <v>272</v>
      </c>
      <c r="B61" s="31" t="s">
        <v>20</v>
      </c>
      <c r="C61" s="15" t="s">
        <v>21</v>
      </c>
      <c r="D61" s="8" t="s">
        <v>273</v>
      </c>
      <c r="E61" s="22" t="s">
        <v>274</v>
      </c>
      <c r="F61" s="8" t="s">
        <v>275</v>
      </c>
      <c r="G61" s="28" t="n">
        <f aca="false">COUNTIF('Screen List'!$B:$B,A61)</f>
        <v>1</v>
      </c>
      <c r="H61" s="8" t="s">
        <v>276</v>
      </c>
      <c r="I61" s="35" t="s">
        <v>71</v>
      </c>
      <c r="J61" s="29" t="n">
        <v>3</v>
      </c>
      <c r="K61" s="9" t="n">
        <f aca="false">WORKDAY(L60,1,Holidays)</f>
        <v>46413</v>
      </c>
      <c r="L61" s="9" t="n">
        <f aca="false">WORKDAY(K61,MAX(J61,1)-1,Holidays)</f>
        <v>46415</v>
      </c>
      <c r="M61" s="30"/>
      <c r="N61" s="31" t="s">
        <v>53</v>
      </c>
      <c r="O61" s="32"/>
      <c r="P61" s="32"/>
      <c r="Q61" s="30"/>
    </row>
    <row r="62" customFormat="false" ht="15" hidden="false" customHeight="false" outlineLevel="0" collapsed="false">
      <c r="A62" s="30" t="s">
        <v>277</v>
      </c>
      <c r="B62" s="31" t="s">
        <v>20</v>
      </c>
      <c r="C62" s="15" t="s">
        <v>21</v>
      </c>
      <c r="D62" s="8" t="s">
        <v>278</v>
      </c>
      <c r="E62" s="22" t="s">
        <v>279</v>
      </c>
      <c r="F62" s="8" t="s">
        <v>280</v>
      </c>
      <c r="G62" s="28" t="n">
        <f aca="false">COUNTIF('Screen List'!$B:$B,A62)</f>
        <v>1</v>
      </c>
      <c r="H62" s="8" t="s">
        <v>281</v>
      </c>
      <c r="I62" s="35" t="s">
        <v>71</v>
      </c>
      <c r="J62" s="29" t="n">
        <v>2</v>
      </c>
      <c r="K62" s="9" t="n">
        <f aca="false">WORKDAY(L61,1,Holidays)</f>
        <v>46416</v>
      </c>
      <c r="L62" s="9" t="n">
        <f aca="false">WORKDAY(K62,MAX(J62,1)-1,Holidays)</f>
        <v>46419</v>
      </c>
      <c r="M62" s="30"/>
      <c r="N62" s="31" t="s">
        <v>53</v>
      </c>
      <c r="O62" s="32"/>
      <c r="P62" s="32"/>
      <c r="Q62" s="30"/>
    </row>
    <row r="63" customFormat="false" ht="15" hidden="false" customHeight="false" outlineLevel="0" collapsed="false">
      <c r="A63" s="30" t="s">
        <v>282</v>
      </c>
      <c r="B63" s="31" t="s">
        <v>20</v>
      </c>
      <c r="C63" s="15" t="s">
        <v>21</v>
      </c>
      <c r="D63" s="8" t="s">
        <v>278</v>
      </c>
      <c r="E63" s="22" t="s">
        <v>283</v>
      </c>
      <c r="F63" s="8" t="s">
        <v>284</v>
      </c>
      <c r="G63" s="28" t="n">
        <f aca="false">COUNTIF('Screen List'!$B:$B,A63)</f>
        <v>1</v>
      </c>
      <c r="H63" s="8" t="s">
        <v>285</v>
      </c>
      <c r="I63" s="35" t="s">
        <v>71</v>
      </c>
      <c r="J63" s="29" t="n">
        <v>1</v>
      </c>
      <c r="K63" s="9" t="n">
        <f aca="false">WORKDAY(L62,1,Holidays)</f>
        <v>46420</v>
      </c>
      <c r="L63" s="9" t="n">
        <f aca="false">WORKDAY(K63,MAX(J63,1)-1,Holidays)</f>
        <v>46420</v>
      </c>
      <c r="M63" s="30"/>
      <c r="N63" s="31" t="s">
        <v>53</v>
      </c>
      <c r="O63" s="32"/>
      <c r="P63" s="32"/>
      <c r="Q63" s="30"/>
    </row>
    <row r="64" customFormat="false" ht="23.85" hidden="false" customHeight="false" outlineLevel="0" collapsed="false">
      <c r="A64" s="30" t="s">
        <v>286</v>
      </c>
      <c r="B64" s="31" t="s">
        <v>20</v>
      </c>
      <c r="C64" s="15" t="s">
        <v>21</v>
      </c>
      <c r="D64" s="8" t="s">
        <v>278</v>
      </c>
      <c r="E64" s="22" t="s">
        <v>287</v>
      </c>
      <c r="F64" s="8" t="s">
        <v>288</v>
      </c>
      <c r="G64" s="28" t="n">
        <f aca="false">COUNTIF('Screen List'!$B:$B,A64)</f>
        <v>1</v>
      </c>
      <c r="H64" s="8" t="s">
        <v>289</v>
      </c>
      <c r="I64" s="35" t="s">
        <v>71</v>
      </c>
      <c r="J64" s="29" t="n">
        <v>1</v>
      </c>
      <c r="K64" s="9" t="n">
        <f aca="false">WORKDAY(L63,1,Holidays)</f>
        <v>46421</v>
      </c>
      <c r="L64" s="9" t="n">
        <f aca="false">WORKDAY(K64,MAX(J64,1)-1,Holidays)</f>
        <v>46421</v>
      </c>
      <c r="M64" s="30"/>
      <c r="N64" s="31" t="s">
        <v>53</v>
      </c>
      <c r="O64" s="32"/>
      <c r="P64" s="32"/>
      <c r="Q64" s="30"/>
    </row>
    <row r="65" customFormat="false" ht="15" hidden="false" customHeight="false" outlineLevel="0" collapsed="false">
      <c r="A65" s="30" t="s">
        <v>290</v>
      </c>
      <c r="B65" s="31" t="s">
        <v>20</v>
      </c>
      <c r="C65" s="15" t="s">
        <v>21</v>
      </c>
      <c r="D65" s="8" t="s">
        <v>278</v>
      </c>
      <c r="E65" s="22" t="s">
        <v>291</v>
      </c>
      <c r="F65" s="8" t="s">
        <v>292</v>
      </c>
      <c r="G65" s="28" t="n">
        <f aca="false">COUNTIF('Screen List'!$B:$B,A65)</f>
        <v>1</v>
      </c>
      <c r="H65" s="8" t="s">
        <v>293</v>
      </c>
      <c r="I65" s="35" t="s">
        <v>71</v>
      </c>
      <c r="J65" s="29" t="n">
        <v>3</v>
      </c>
      <c r="K65" s="9" t="n">
        <f aca="false">WORKDAY(L64,1,Holidays)</f>
        <v>46422</v>
      </c>
      <c r="L65" s="9" t="n">
        <f aca="false">WORKDAY(K65,MAX(J65,1)-1,Holidays)</f>
        <v>46426</v>
      </c>
      <c r="M65" s="30"/>
      <c r="N65" s="31" t="s">
        <v>53</v>
      </c>
      <c r="O65" s="32"/>
      <c r="P65" s="32"/>
      <c r="Q65" s="30"/>
    </row>
    <row r="66" customFormat="false" ht="23.85" hidden="false" customHeight="false" outlineLevel="0" collapsed="false">
      <c r="A66" s="30" t="s">
        <v>294</v>
      </c>
      <c r="B66" s="31" t="s">
        <v>20</v>
      </c>
      <c r="C66" s="15" t="s">
        <v>21</v>
      </c>
      <c r="D66" s="8" t="s">
        <v>278</v>
      </c>
      <c r="E66" s="22" t="s">
        <v>295</v>
      </c>
      <c r="F66" s="8" t="s">
        <v>296</v>
      </c>
      <c r="G66" s="28" t="n">
        <f aca="false">COUNTIF('Screen List'!$B:$B,A66)</f>
        <v>1</v>
      </c>
      <c r="H66" s="8" t="s">
        <v>297</v>
      </c>
      <c r="I66" s="35" t="s">
        <v>71</v>
      </c>
      <c r="J66" s="29" t="n">
        <v>2</v>
      </c>
      <c r="K66" s="9" t="n">
        <f aca="false">WORKDAY(L65,1,Holidays)</f>
        <v>46427</v>
      </c>
      <c r="L66" s="9" t="n">
        <f aca="false">WORKDAY(K66,MAX(J66,1)-1,Holidays)</f>
        <v>46428</v>
      </c>
      <c r="M66" s="30"/>
      <c r="N66" s="31" t="s">
        <v>53</v>
      </c>
      <c r="O66" s="32"/>
      <c r="P66" s="32"/>
      <c r="Q66" s="30"/>
    </row>
    <row r="67" customFormat="false" ht="23.85" hidden="false" customHeight="false" outlineLevel="0" collapsed="false">
      <c r="A67" s="30" t="s">
        <v>298</v>
      </c>
      <c r="B67" s="31" t="s">
        <v>20</v>
      </c>
      <c r="C67" s="15" t="s">
        <v>21</v>
      </c>
      <c r="D67" s="8" t="s">
        <v>278</v>
      </c>
      <c r="E67" s="22" t="s">
        <v>299</v>
      </c>
      <c r="F67" s="8" t="s">
        <v>300</v>
      </c>
      <c r="G67" s="28" t="n">
        <f aca="false">COUNTIF('Screen List'!$B:$B,A67)</f>
        <v>1</v>
      </c>
      <c r="H67" s="8" t="s">
        <v>301</v>
      </c>
      <c r="I67" s="35" t="s">
        <v>71</v>
      </c>
      <c r="J67" s="29" t="n">
        <v>2</v>
      </c>
      <c r="K67" s="9" t="n">
        <f aca="false">WORKDAY(L66,1,Holidays)</f>
        <v>46429</v>
      </c>
      <c r="L67" s="9" t="n">
        <f aca="false">WORKDAY(K67,MAX(J67,1)-1,Holidays)</f>
        <v>46430</v>
      </c>
      <c r="M67" s="30"/>
      <c r="N67" s="31" t="s">
        <v>53</v>
      </c>
      <c r="O67" s="32"/>
      <c r="P67" s="32"/>
      <c r="Q67" s="30"/>
    </row>
    <row r="68" customFormat="false" ht="68.65" hidden="false" customHeight="false" outlineLevel="0" collapsed="false">
      <c r="A68" s="30" t="s">
        <v>302</v>
      </c>
      <c r="B68" s="31" t="s">
        <v>20</v>
      </c>
      <c r="C68" s="15" t="s">
        <v>21</v>
      </c>
      <c r="D68" s="8" t="s">
        <v>278</v>
      </c>
      <c r="E68" s="22" t="s">
        <v>303</v>
      </c>
      <c r="F68" s="8" t="s">
        <v>304</v>
      </c>
      <c r="G68" s="28" t="n">
        <f aca="false">COUNTIF('Screen List'!$B:$B,A68)</f>
        <v>3</v>
      </c>
      <c r="H68" s="8" t="s">
        <v>305</v>
      </c>
      <c r="I68" s="35" t="s">
        <v>71</v>
      </c>
      <c r="J68" s="29" t="n">
        <v>3</v>
      </c>
      <c r="K68" s="9" t="n">
        <f aca="false">WORKDAY(L67,1,Holidays)</f>
        <v>46433</v>
      </c>
      <c r="L68" s="9" t="n">
        <f aca="false">WORKDAY(K68,MAX(J68,1)-1,Holidays)</f>
        <v>46435</v>
      </c>
      <c r="M68" s="30"/>
      <c r="N68" s="31" t="s">
        <v>53</v>
      </c>
      <c r="O68" s="32"/>
      <c r="P68" s="32"/>
      <c r="Q68" s="30"/>
    </row>
    <row r="69" customFormat="false" ht="15" hidden="false" customHeight="false" outlineLevel="0" collapsed="false">
      <c r="A69" s="30" t="s">
        <v>306</v>
      </c>
      <c r="B69" s="31" t="s">
        <v>20</v>
      </c>
      <c r="C69" s="15" t="s">
        <v>21</v>
      </c>
      <c r="D69" s="8" t="s">
        <v>278</v>
      </c>
      <c r="E69" s="22" t="s">
        <v>307</v>
      </c>
      <c r="F69" s="8" t="s">
        <v>308</v>
      </c>
      <c r="G69" s="28" t="n">
        <f aca="false">COUNTIF('Screen List'!$B:$B,A69)</f>
        <v>1</v>
      </c>
      <c r="H69" s="8" t="s">
        <v>309</v>
      </c>
      <c r="I69" s="35" t="s">
        <v>71</v>
      </c>
      <c r="J69" s="29" t="n">
        <v>2</v>
      </c>
      <c r="K69" s="9" t="n">
        <f aca="false">WORKDAY(L68,1,Holidays)</f>
        <v>46436</v>
      </c>
      <c r="L69" s="9" t="n">
        <f aca="false">WORKDAY(K69,MAX(J69,1)-1,Holidays)</f>
        <v>46437</v>
      </c>
      <c r="M69" s="30"/>
      <c r="N69" s="31" t="s">
        <v>53</v>
      </c>
      <c r="O69" s="32"/>
      <c r="P69" s="32"/>
      <c r="Q69" s="30"/>
    </row>
    <row r="70" customFormat="false" ht="15" hidden="false" customHeight="false" outlineLevel="0" collapsed="false">
      <c r="A70" s="30" t="s">
        <v>310</v>
      </c>
      <c r="B70" s="31" t="s">
        <v>20</v>
      </c>
      <c r="C70" s="15" t="s">
        <v>21</v>
      </c>
      <c r="D70" s="8" t="s">
        <v>278</v>
      </c>
      <c r="E70" s="22" t="s">
        <v>311</v>
      </c>
      <c r="F70" s="8" t="s">
        <v>312</v>
      </c>
      <c r="G70" s="28" t="n">
        <f aca="false">COUNTIF('Screen List'!$B:$B,A70)</f>
        <v>1</v>
      </c>
      <c r="H70" s="8" t="s">
        <v>313</v>
      </c>
      <c r="I70" s="35" t="s">
        <v>71</v>
      </c>
      <c r="J70" s="29" t="n">
        <v>2</v>
      </c>
      <c r="K70" s="9" t="n">
        <f aca="false">WORKDAY(L69,1,Holidays)</f>
        <v>46440</v>
      </c>
      <c r="L70" s="9" t="n">
        <f aca="false">WORKDAY(K70,MAX(J70,1)-1,Holidays)</f>
        <v>46441</v>
      </c>
      <c r="M70" s="30"/>
      <c r="N70" s="31" t="s">
        <v>53</v>
      </c>
      <c r="O70" s="32"/>
      <c r="P70" s="32"/>
      <c r="Q70" s="30"/>
    </row>
    <row r="71" customFormat="false" ht="23.85" hidden="false" customHeight="false" outlineLevel="0" collapsed="false">
      <c r="A71" s="30" t="s">
        <v>314</v>
      </c>
      <c r="B71" s="31" t="s">
        <v>20</v>
      </c>
      <c r="C71" s="15" t="s">
        <v>21</v>
      </c>
      <c r="D71" s="8" t="s">
        <v>315</v>
      </c>
      <c r="E71" s="22" t="s">
        <v>316</v>
      </c>
      <c r="F71" s="8" t="s">
        <v>317</v>
      </c>
      <c r="G71" s="28" t="n">
        <f aca="false">COUNTIF('Screen List'!$B:$B,A71)</f>
        <v>2</v>
      </c>
      <c r="H71" s="8" t="s">
        <v>318</v>
      </c>
      <c r="I71" s="35" t="s">
        <v>71</v>
      </c>
      <c r="J71" s="29" t="n">
        <v>2</v>
      </c>
      <c r="K71" s="9" t="n">
        <f aca="false">WORKDAY(L70,1,Holidays)</f>
        <v>46442</v>
      </c>
      <c r="L71" s="9" t="n">
        <f aca="false">WORKDAY(K71,MAX(J71,1)-1,Holidays)</f>
        <v>46444</v>
      </c>
      <c r="M71" s="30"/>
      <c r="N71" s="31" t="s">
        <v>53</v>
      </c>
      <c r="O71" s="32"/>
      <c r="P71" s="32"/>
      <c r="Q71" s="30"/>
    </row>
    <row r="72" customFormat="false" ht="23.85" hidden="false" customHeight="false" outlineLevel="0" collapsed="false">
      <c r="A72" s="30" t="s">
        <v>319</v>
      </c>
      <c r="B72" s="31" t="s">
        <v>20</v>
      </c>
      <c r="C72" s="15" t="s">
        <v>21</v>
      </c>
      <c r="D72" s="8" t="s">
        <v>315</v>
      </c>
      <c r="E72" s="22" t="s">
        <v>320</v>
      </c>
      <c r="F72" s="8" t="s">
        <v>321</v>
      </c>
      <c r="G72" s="28" t="n">
        <f aca="false">COUNTIF('Screen List'!$B:$B,A72)</f>
        <v>2</v>
      </c>
      <c r="H72" s="8" t="s">
        <v>322</v>
      </c>
      <c r="I72" s="35" t="s">
        <v>71</v>
      </c>
      <c r="J72" s="29" t="n">
        <v>2</v>
      </c>
      <c r="K72" s="9" t="n">
        <f aca="false">WORKDAY(L71,1,Holidays)</f>
        <v>46447</v>
      </c>
      <c r="L72" s="9" t="n">
        <f aca="false">WORKDAY(K72,MAX(J72,1)-1,Holidays)</f>
        <v>46448</v>
      </c>
      <c r="M72" s="30"/>
      <c r="N72" s="31" t="s">
        <v>53</v>
      </c>
      <c r="O72" s="32"/>
      <c r="P72" s="32"/>
      <c r="Q72" s="30"/>
    </row>
    <row r="73" customFormat="false" ht="15" hidden="false" customHeight="false" outlineLevel="0" collapsed="false">
      <c r="A73" s="30" t="s">
        <v>323</v>
      </c>
      <c r="B73" s="31" t="s">
        <v>20</v>
      </c>
      <c r="C73" s="15" t="s">
        <v>21</v>
      </c>
      <c r="D73" s="8" t="s">
        <v>315</v>
      </c>
      <c r="E73" s="22" t="s">
        <v>324</v>
      </c>
      <c r="F73" s="8" t="s">
        <v>325</v>
      </c>
      <c r="G73" s="28" t="n">
        <f aca="false">COUNTIF('Screen List'!$B:$B,A73)</f>
        <v>1</v>
      </c>
      <c r="H73" s="8" t="s">
        <v>326</v>
      </c>
      <c r="I73" s="35" t="s">
        <v>71</v>
      </c>
      <c r="J73" s="29" t="n">
        <v>2</v>
      </c>
      <c r="K73" s="9" t="n">
        <f aca="false">WORKDAY(L72,1,Holidays)</f>
        <v>46449</v>
      </c>
      <c r="L73" s="9" t="n">
        <f aca="false">WORKDAY(K73,MAX(J73,1)-1,Holidays)</f>
        <v>46450</v>
      </c>
      <c r="M73" s="30"/>
      <c r="N73" s="31" t="s">
        <v>53</v>
      </c>
      <c r="O73" s="32"/>
      <c r="P73" s="32"/>
      <c r="Q73" s="30"/>
    </row>
    <row r="74" customFormat="false" ht="57.45" hidden="false" customHeight="false" outlineLevel="0" collapsed="false">
      <c r="A74" s="30" t="s">
        <v>327</v>
      </c>
      <c r="B74" s="31" t="s">
        <v>20</v>
      </c>
      <c r="C74" s="15" t="s">
        <v>21</v>
      </c>
      <c r="D74" s="8" t="s">
        <v>315</v>
      </c>
      <c r="E74" s="22" t="s">
        <v>328</v>
      </c>
      <c r="F74" s="8" t="s">
        <v>329</v>
      </c>
      <c r="G74" s="28" t="n">
        <f aca="false">COUNTIF('Screen List'!$B:$B,A74)</f>
        <v>3</v>
      </c>
      <c r="H74" s="8" t="s">
        <v>330</v>
      </c>
      <c r="I74" s="35" t="s">
        <v>71</v>
      </c>
      <c r="J74" s="29" t="n">
        <v>2</v>
      </c>
      <c r="K74" s="9" t="n">
        <f aca="false">WORKDAY(L73,1,Holidays)</f>
        <v>46451</v>
      </c>
      <c r="L74" s="9" t="n">
        <f aca="false">WORKDAY(K74,MAX(J74,1)-1,Holidays)</f>
        <v>46454</v>
      </c>
      <c r="M74" s="30"/>
      <c r="N74" s="31" t="s">
        <v>53</v>
      </c>
      <c r="O74" s="32"/>
      <c r="P74" s="32"/>
      <c r="Q74" s="30"/>
    </row>
    <row r="75" customFormat="false" ht="57.45" hidden="false" customHeight="false" outlineLevel="0" collapsed="false">
      <c r="A75" s="30" t="s">
        <v>331</v>
      </c>
      <c r="B75" s="31" t="s">
        <v>20</v>
      </c>
      <c r="C75" s="15" t="s">
        <v>21</v>
      </c>
      <c r="D75" s="8" t="s">
        <v>315</v>
      </c>
      <c r="E75" s="22" t="s">
        <v>332</v>
      </c>
      <c r="F75" s="8" t="s">
        <v>333</v>
      </c>
      <c r="G75" s="28" t="n">
        <f aca="false">COUNTIF('Screen List'!$B:$B,A75)</f>
        <v>3</v>
      </c>
      <c r="H75" s="8" t="s">
        <v>334</v>
      </c>
      <c r="I75" s="35" t="s">
        <v>71</v>
      </c>
      <c r="J75" s="29" t="n">
        <v>3</v>
      </c>
      <c r="K75" s="9" t="n">
        <f aca="false">WORKDAY(L74,1,Holidays)</f>
        <v>46455</v>
      </c>
      <c r="L75" s="9" t="n">
        <f aca="false">WORKDAY(K75,MAX(J75,1)-1,Holidays)</f>
        <v>46457</v>
      </c>
      <c r="M75" s="30"/>
      <c r="N75" s="31" t="s">
        <v>53</v>
      </c>
      <c r="O75" s="32"/>
      <c r="P75" s="32"/>
      <c r="Q75" s="30"/>
    </row>
    <row r="76" customFormat="false" ht="23.85" hidden="false" customHeight="false" outlineLevel="0" collapsed="false">
      <c r="A76" s="38" t="s">
        <v>335</v>
      </c>
      <c r="B76" s="39" t="s">
        <v>29</v>
      </c>
      <c r="C76" s="21" t="s">
        <v>30</v>
      </c>
      <c r="D76" s="8" t="s">
        <v>336</v>
      </c>
      <c r="E76" s="22" t="s">
        <v>337</v>
      </c>
      <c r="F76" s="8" t="s">
        <v>338</v>
      </c>
      <c r="G76" s="28" t="n">
        <f aca="false">COUNTIF('Screen List'!$B:$B,A76)</f>
        <v>1</v>
      </c>
      <c r="H76" s="8" t="s">
        <v>339</v>
      </c>
      <c r="I76" s="35" t="s">
        <v>71</v>
      </c>
      <c r="J76" s="29" t="n">
        <v>2</v>
      </c>
      <c r="K76" s="9" t="n">
        <f aca="false">INDEX('Module Timeline'!$E:$E,MATCH(B76,'Module Timeline'!$A:$A,0))</f>
        <v>46344</v>
      </c>
      <c r="L76" s="9" t="n">
        <f aca="false">WORKDAY(K76,MAX(J76,1)-1,Holidays)</f>
        <v>46345</v>
      </c>
      <c r="M76" s="30"/>
      <c r="N76" s="31" t="s">
        <v>53</v>
      </c>
      <c r="O76" s="32"/>
      <c r="P76" s="32"/>
      <c r="Q76" s="30"/>
    </row>
    <row r="77" customFormat="false" ht="15" hidden="false" customHeight="false" outlineLevel="0" collapsed="false">
      <c r="A77" s="38" t="s">
        <v>340</v>
      </c>
      <c r="B77" s="39" t="s">
        <v>29</v>
      </c>
      <c r="C77" s="21" t="s">
        <v>30</v>
      </c>
      <c r="D77" s="8" t="s">
        <v>336</v>
      </c>
      <c r="E77" s="22" t="s">
        <v>341</v>
      </c>
      <c r="F77" s="8" t="s">
        <v>342</v>
      </c>
      <c r="G77" s="28" t="n">
        <f aca="false">COUNTIF('Screen List'!$B:$B,A77)</f>
        <v>1</v>
      </c>
      <c r="H77" s="8" t="s">
        <v>343</v>
      </c>
      <c r="I77" s="35" t="s">
        <v>71</v>
      </c>
      <c r="J77" s="29" t="n">
        <v>2</v>
      </c>
      <c r="K77" s="9" t="n">
        <f aca="false">WORKDAY(L76,1,Holidays)</f>
        <v>46346</v>
      </c>
      <c r="L77" s="9" t="n">
        <f aca="false">WORKDAY(K77,MAX(J77,1)-1,Holidays)</f>
        <v>46349</v>
      </c>
      <c r="M77" s="30"/>
      <c r="N77" s="31" t="s">
        <v>53</v>
      </c>
      <c r="O77" s="32"/>
      <c r="P77" s="32"/>
      <c r="Q77" s="30"/>
    </row>
    <row r="78" customFormat="false" ht="15" hidden="false" customHeight="false" outlineLevel="0" collapsed="false">
      <c r="A78" s="38" t="s">
        <v>344</v>
      </c>
      <c r="B78" s="39" t="s">
        <v>29</v>
      </c>
      <c r="C78" s="21" t="s">
        <v>30</v>
      </c>
      <c r="D78" s="8" t="s">
        <v>336</v>
      </c>
      <c r="E78" s="22" t="s">
        <v>345</v>
      </c>
      <c r="F78" s="8" t="s">
        <v>346</v>
      </c>
      <c r="G78" s="28" t="n">
        <f aca="false">COUNTIF('Screen List'!$B:$B,A78)</f>
        <v>1</v>
      </c>
      <c r="H78" s="8" t="s">
        <v>347</v>
      </c>
      <c r="I78" s="35" t="s">
        <v>71</v>
      </c>
      <c r="J78" s="29" t="n">
        <v>2</v>
      </c>
      <c r="K78" s="9" t="n">
        <f aca="false">WORKDAY(L77,1,Holidays)</f>
        <v>46350</v>
      </c>
      <c r="L78" s="9" t="n">
        <f aca="false">WORKDAY(K78,MAX(J78,1)-1,Holidays)</f>
        <v>46351</v>
      </c>
      <c r="M78" s="30"/>
      <c r="N78" s="31" t="s">
        <v>53</v>
      </c>
      <c r="O78" s="32"/>
      <c r="P78" s="32"/>
      <c r="Q78" s="30"/>
    </row>
    <row r="79" customFormat="false" ht="15" hidden="false" customHeight="false" outlineLevel="0" collapsed="false">
      <c r="A79" s="38" t="s">
        <v>348</v>
      </c>
      <c r="B79" s="39" t="s">
        <v>29</v>
      </c>
      <c r="C79" s="21" t="s">
        <v>30</v>
      </c>
      <c r="D79" s="8" t="s">
        <v>336</v>
      </c>
      <c r="E79" s="22" t="s">
        <v>349</v>
      </c>
      <c r="F79" s="8" t="s">
        <v>350</v>
      </c>
      <c r="G79" s="28" t="n">
        <f aca="false">COUNTIF('Screen List'!$B:$B,A79)</f>
        <v>1</v>
      </c>
      <c r="H79" s="8" t="s">
        <v>351</v>
      </c>
      <c r="I79" s="35" t="s">
        <v>71</v>
      </c>
      <c r="J79" s="29" t="n">
        <v>2</v>
      </c>
      <c r="K79" s="9" t="n">
        <f aca="false">WORKDAY(L78,1,Holidays)</f>
        <v>46352</v>
      </c>
      <c r="L79" s="9" t="n">
        <f aca="false">WORKDAY(K79,MAX(J79,1)-1,Holidays)</f>
        <v>46353</v>
      </c>
      <c r="M79" s="30"/>
      <c r="N79" s="31" t="s">
        <v>53</v>
      </c>
      <c r="O79" s="32"/>
      <c r="P79" s="32"/>
      <c r="Q79" s="30"/>
    </row>
    <row r="80" customFormat="false" ht="23.85" hidden="false" customHeight="false" outlineLevel="0" collapsed="false">
      <c r="A80" s="38" t="s">
        <v>352</v>
      </c>
      <c r="B80" s="39" t="s">
        <v>29</v>
      </c>
      <c r="C80" s="21" t="s">
        <v>30</v>
      </c>
      <c r="D80" s="8" t="s">
        <v>336</v>
      </c>
      <c r="E80" s="22" t="s">
        <v>353</v>
      </c>
      <c r="F80" s="8" t="s">
        <v>354</v>
      </c>
      <c r="G80" s="28" t="n">
        <f aca="false">COUNTIF('Screen List'!$B:$B,A80)</f>
        <v>1</v>
      </c>
      <c r="H80" s="8" t="s">
        <v>355</v>
      </c>
      <c r="I80" s="35" t="s">
        <v>71</v>
      </c>
      <c r="J80" s="29" t="n">
        <v>1</v>
      </c>
      <c r="K80" s="9" t="n">
        <f aca="false">WORKDAY(L79,1,Holidays)</f>
        <v>46357</v>
      </c>
      <c r="L80" s="9" t="n">
        <f aca="false">WORKDAY(K80,MAX(J80,1)-1,Holidays)</f>
        <v>46357</v>
      </c>
      <c r="M80" s="30"/>
      <c r="N80" s="31" t="s">
        <v>53</v>
      </c>
      <c r="O80" s="32"/>
      <c r="P80" s="32"/>
      <c r="Q80" s="30"/>
    </row>
    <row r="81" customFormat="false" ht="23.85" hidden="false" customHeight="false" outlineLevel="0" collapsed="false">
      <c r="A81" s="38" t="s">
        <v>356</v>
      </c>
      <c r="B81" s="39" t="s">
        <v>29</v>
      </c>
      <c r="C81" s="21" t="s">
        <v>30</v>
      </c>
      <c r="D81" s="8" t="s">
        <v>357</v>
      </c>
      <c r="E81" s="22" t="s">
        <v>358</v>
      </c>
      <c r="F81" s="8" t="s">
        <v>359</v>
      </c>
      <c r="G81" s="28" t="n">
        <f aca="false">COUNTIF('Screen List'!$B:$B,A81)</f>
        <v>1</v>
      </c>
      <c r="H81" s="8" t="s">
        <v>360</v>
      </c>
      <c r="I81" s="35" t="s">
        <v>71</v>
      </c>
      <c r="J81" s="29" t="n">
        <v>3</v>
      </c>
      <c r="K81" s="9" t="n">
        <f aca="false">WORKDAY(L80,1,Holidays)</f>
        <v>46358</v>
      </c>
      <c r="L81" s="9" t="n">
        <f aca="false">WORKDAY(K81,MAX(J81,1)-1,Holidays)</f>
        <v>46360</v>
      </c>
      <c r="M81" s="30"/>
      <c r="N81" s="31" t="s">
        <v>53</v>
      </c>
      <c r="O81" s="32"/>
      <c r="P81" s="32"/>
      <c r="Q81" s="30"/>
    </row>
    <row r="82" customFormat="false" ht="15" hidden="false" customHeight="false" outlineLevel="0" collapsed="false">
      <c r="A82" s="40" t="s">
        <v>361</v>
      </c>
      <c r="B82" s="41" t="s">
        <v>23</v>
      </c>
      <c r="C82" s="17" t="s">
        <v>24</v>
      </c>
      <c r="D82" s="8" t="s">
        <v>362</v>
      </c>
      <c r="E82" s="22" t="s">
        <v>363</v>
      </c>
      <c r="F82" s="8" t="s">
        <v>364</v>
      </c>
      <c r="G82" s="28" t="n">
        <f aca="false">COUNTIF('Screen List'!$B:$B,A82)</f>
        <v>1</v>
      </c>
      <c r="H82" s="8" t="s">
        <v>365</v>
      </c>
      <c r="I82" s="35" t="s">
        <v>71</v>
      </c>
      <c r="J82" s="29" t="n">
        <v>1</v>
      </c>
      <c r="K82" s="9" t="n">
        <f aca="false">INDEX('Module Timeline'!$E:$E,MATCH(B82,'Module Timeline'!$A:$A,0))</f>
        <v>46325</v>
      </c>
      <c r="L82" s="9" t="n">
        <f aca="false">WORKDAY(K82,MAX(J82,1)-1,Holidays)</f>
        <v>46325</v>
      </c>
      <c r="M82" s="30"/>
      <c r="N82" s="31" t="s">
        <v>53</v>
      </c>
      <c r="O82" s="32"/>
      <c r="P82" s="32"/>
      <c r="Q82" s="30"/>
    </row>
    <row r="83" customFormat="false" ht="15" hidden="false" customHeight="false" outlineLevel="0" collapsed="false">
      <c r="A83" s="40" t="s">
        <v>366</v>
      </c>
      <c r="B83" s="41" t="s">
        <v>23</v>
      </c>
      <c r="C83" s="17" t="s">
        <v>24</v>
      </c>
      <c r="D83" s="8" t="s">
        <v>362</v>
      </c>
      <c r="E83" s="22" t="s">
        <v>367</v>
      </c>
      <c r="F83" s="8" t="s">
        <v>368</v>
      </c>
      <c r="G83" s="28" t="n">
        <f aca="false">COUNTIF('Screen List'!$B:$B,A83)</f>
        <v>1</v>
      </c>
      <c r="H83" s="8" t="s">
        <v>369</v>
      </c>
      <c r="I83" s="35" t="s">
        <v>71</v>
      </c>
      <c r="J83" s="29" t="n">
        <v>1</v>
      </c>
      <c r="K83" s="9" t="n">
        <f aca="false">WORKDAY(L82,1,Holidays)</f>
        <v>46329</v>
      </c>
      <c r="L83" s="9" t="n">
        <f aca="false">WORKDAY(K83,MAX(J83,1)-1,Holidays)</f>
        <v>46329</v>
      </c>
      <c r="M83" s="30"/>
      <c r="N83" s="31" t="s">
        <v>53</v>
      </c>
      <c r="O83" s="32"/>
      <c r="P83" s="32"/>
      <c r="Q83" s="30"/>
    </row>
    <row r="84" customFormat="false" ht="15" hidden="false" customHeight="false" outlineLevel="0" collapsed="false">
      <c r="A84" s="40" t="s">
        <v>370</v>
      </c>
      <c r="B84" s="41" t="s">
        <v>23</v>
      </c>
      <c r="C84" s="17" t="s">
        <v>24</v>
      </c>
      <c r="D84" s="8" t="s">
        <v>362</v>
      </c>
      <c r="E84" s="22" t="s">
        <v>371</v>
      </c>
      <c r="F84" s="8" t="s">
        <v>372</v>
      </c>
      <c r="G84" s="28" t="n">
        <f aca="false">COUNTIF('Screen List'!$B:$B,A84)</f>
        <v>1</v>
      </c>
      <c r="H84" s="8" t="s">
        <v>373</v>
      </c>
      <c r="I84" s="35" t="s">
        <v>71</v>
      </c>
      <c r="J84" s="29" t="n">
        <v>1</v>
      </c>
      <c r="K84" s="9" t="n">
        <f aca="false">WORKDAY(L83,1,Holidays)</f>
        <v>46330</v>
      </c>
      <c r="L84" s="9" t="n">
        <f aca="false">WORKDAY(K84,MAX(J84,1)-1,Holidays)</f>
        <v>46330</v>
      </c>
      <c r="M84" s="30"/>
      <c r="N84" s="31" t="s">
        <v>53</v>
      </c>
      <c r="O84" s="32"/>
      <c r="P84" s="32"/>
      <c r="Q84" s="30"/>
    </row>
    <row r="85" customFormat="false" ht="15" hidden="false" customHeight="false" outlineLevel="0" collapsed="false">
      <c r="A85" s="40" t="s">
        <v>374</v>
      </c>
      <c r="B85" s="41" t="s">
        <v>23</v>
      </c>
      <c r="C85" s="17" t="s">
        <v>24</v>
      </c>
      <c r="D85" s="8" t="s">
        <v>362</v>
      </c>
      <c r="E85" s="22" t="s">
        <v>375</v>
      </c>
      <c r="F85" s="8" t="s">
        <v>376</v>
      </c>
      <c r="G85" s="28" t="n">
        <f aca="false">COUNTIF('Screen List'!$B:$B,A85)</f>
        <v>1</v>
      </c>
      <c r="H85" s="8" t="s">
        <v>377</v>
      </c>
      <c r="I85" s="35" t="s">
        <v>71</v>
      </c>
      <c r="J85" s="29" t="n">
        <v>1</v>
      </c>
      <c r="K85" s="9" t="n">
        <f aca="false">WORKDAY(L84,1,Holidays)</f>
        <v>46331</v>
      </c>
      <c r="L85" s="9" t="n">
        <f aca="false">WORKDAY(K85,MAX(J85,1)-1,Holidays)</f>
        <v>46331</v>
      </c>
      <c r="M85" s="30"/>
      <c r="N85" s="31" t="s">
        <v>53</v>
      </c>
      <c r="O85" s="32"/>
      <c r="P85" s="32"/>
      <c r="Q85" s="30"/>
    </row>
    <row r="86" customFormat="false" ht="15" hidden="false" customHeight="false" outlineLevel="0" collapsed="false">
      <c r="A86" s="40" t="s">
        <v>378</v>
      </c>
      <c r="B86" s="41" t="s">
        <v>23</v>
      </c>
      <c r="C86" s="17" t="s">
        <v>24</v>
      </c>
      <c r="D86" s="8" t="s">
        <v>362</v>
      </c>
      <c r="E86" s="22" t="s">
        <v>379</v>
      </c>
      <c r="F86" s="8" t="s">
        <v>380</v>
      </c>
      <c r="G86" s="28" t="n">
        <f aca="false">COUNTIF('Screen List'!$B:$B,A86)</f>
        <v>1</v>
      </c>
      <c r="H86" s="8" t="s">
        <v>381</v>
      </c>
      <c r="I86" s="35" t="s">
        <v>71</v>
      </c>
      <c r="J86" s="29" t="n">
        <v>1</v>
      </c>
      <c r="K86" s="9" t="n">
        <f aca="false">WORKDAY(L85,1,Holidays)</f>
        <v>46332</v>
      </c>
      <c r="L86" s="9" t="n">
        <f aca="false">WORKDAY(K86,MAX(J86,1)-1,Holidays)</f>
        <v>46332</v>
      </c>
      <c r="M86" s="30"/>
      <c r="N86" s="31" t="s">
        <v>53</v>
      </c>
      <c r="O86" s="32"/>
      <c r="P86" s="32"/>
      <c r="Q86" s="30"/>
    </row>
    <row r="87" customFormat="false" ht="15" hidden="false" customHeight="false" outlineLevel="0" collapsed="false">
      <c r="A87" s="40" t="s">
        <v>382</v>
      </c>
      <c r="B87" s="41" t="s">
        <v>23</v>
      </c>
      <c r="C87" s="17" t="s">
        <v>24</v>
      </c>
      <c r="D87" s="8" t="s">
        <v>362</v>
      </c>
      <c r="E87" s="22" t="s">
        <v>383</v>
      </c>
      <c r="F87" s="8" t="s">
        <v>384</v>
      </c>
      <c r="G87" s="28" t="n">
        <f aca="false">COUNTIF('Screen List'!$B:$B,A87)</f>
        <v>1</v>
      </c>
      <c r="H87" s="8" t="s">
        <v>385</v>
      </c>
      <c r="I87" s="35" t="s">
        <v>71</v>
      </c>
      <c r="J87" s="29" t="n">
        <v>1</v>
      </c>
      <c r="K87" s="9" t="n">
        <f aca="false">WORKDAY(L86,1,Holidays)</f>
        <v>46335</v>
      </c>
      <c r="L87" s="9" t="n">
        <f aca="false">WORKDAY(K87,MAX(J87,1)-1,Holidays)</f>
        <v>46335</v>
      </c>
      <c r="M87" s="30"/>
      <c r="N87" s="31" t="s">
        <v>53</v>
      </c>
      <c r="O87" s="32"/>
      <c r="P87" s="32"/>
      <c r="Q87" s="30"/>
    </row>
    <row r="88" customFormat="false" ht="15" hidden="false" customHeight="false" outlineLevel="0" collapsed="false">
      <c r="A88" s="40" t="s">
        <v>386</v>
      </c>
      <c r="B88" s="41" t="s">
        <v>23</v>
      </c>
      <c r="C88" s="17" t="s">
        <v>24</v>
      </c>
      <c r="D88" s="8" t="s">
        <v>387</v>
      </c>
      <c r="E88" s="22" t="s">
        <v>388</v>
      </c>
      <c r="F88" s="8" t="s">
        <v>389</v>
      </c>
      <c r="G88" s="28" t="n">
        <f aca="false">COUNTIF('Screen List'!$B:$B,A88)</f>
        <v>1</v>
      </c>
      <c r="H88" s="8" t="s">
        <v>390</v>
      </c>
      <c r="I88" s="35" t="s">
        <v>71</v>
      </c>
      <c r="J88" s="29" t="n">
        <v>1</v>
      </c>
      <c r="K88" s="9" t="n">
        <f aca="false">WORKDAY(L87,1,Holidays)</f>
        <v>46336</v>
      </c>
      <c r="L88" s="9" t="n">
        <f aca="false">WORKDAY(K88,MAX(J88,1)-1,Holidays)</f>
        <v>46336</v>
      </c>
      <c r="M88" s="30"/>
      <c r="N88" s="31" t="s">
        <v>53</v>
      </c>
      <c r="O88" s="32"/>
      <c r="P88" s="32"/>
      <c r="Q88" s="30"/>
    </row>
    <row r="89" customFormat="false" ht="15" hidden="false" customHeight="false" outlineLevel="0" collapsed="false">
      <c r="A89" s="40" t="s">
        <v>391</v>
      </c>
      <c r="B89" s="41" t="s">
        <v>23</v>
      </c>
      <c r="C89" s="17" t="s">
        <v>24</v>
      </c>
      <c r="D89" s="8" t="s">
        <v>387</v>
      </c>
      <c r="E89" s="22" t="s">
        <v>392</v>
      </c>
      <c r="F89" s="8" t="s">
        <v>393</v>
      </c>
      <c r="G89" s="28" t="n">
        <f aca="false">COUNTIF('Screen List'!$B:$B,A89)</f>
        <v>1</v>
      </c>
      <c r="H89" s="8" t="s">
        <v>394</v>
      </c>
      <c r="I89" s="35" t="s">
        <v>71</v>
      </c>
      <c r="J89" s="29" t="n">
        <v>1</v>
      </c>
      <c r="K89" s="9" t="n">
        <f aca="false">WORKDAY(L88,1,Holidays)</f>
        <v>46337</v>
      </c>
      <c r="L89" s="9" t="n">
        <f aca="false">WORKDAY(K89,MAX(J89,1)-1,Holidays)</f>
        <v>46337</v>
      </c>
      <c r="M89" s="30"/>
      <c r="N89" s="31" t="s">
        <v>53</v>
      </c>
      <c r="O89" s="32"/>
      <c r="P89" s="32"/>
      <c r="Q89" s="30"/>
    </row>
    <row r="90" customFormat="false" ht="15" hidden="false" customHeight="false" outlineLevel="0" collapsed="false">
      <c r="A90" s="40" t="s">
        <v>395</v>
      </c>
      <c r="B90" s="41" t="s">
        <v>23</v>
      </c>
      <c r="C90" s="17" t="s">
        <v>24</v>
      </c>
      <c r="D90" s="8" t="s">
        <v>387</v>
      </c>
      <c r="E90" s="22" t="s">
        <v>396</v>
      </c>
      <c r="F90" s="8" t="s">
        <v>397</v>
      </c>
      <c r="G90" s="28" t="n">
        <f aca="false">COUNTIF('Screen List'!$B:$B,A90)</f>
        <v>1</v>
      </c>
      <c r="H90" s="8" t="s">
        <v>398</v>
      </c>
      <c r="I90" s="35" t="s">
        <v>71</v>
      </c>
      <c r="J90" s="29" t="n">
        <v>2</v>
      </c>
      <c r="K90" s="9" t="n">
        <f aca="false">WORKDAY(L89,1,Holidays)</f>
        <v>46338</v>
      </c>
      <c r="L90" s="9" t="n">
        <f aca="false">WORKDAY(K90,MAX(J90,1)-1,Holidays)</f>
        <v>46339</v>
      </c>
      <c r="M90" s="30"/>
      <c r="N90" s="31" t="s">
        <v>53</v>
      </c>
      <c r="O90" s="32"/>
      <c r="P90" s="32"/>
      <c r="Q90" s="30"/>
    </row>
    <row r="91" customFormat="false" ht="15" hidden="false" customHeight="false" outlineLevel="0" collapsed="false">
      <c r="A91" s="40" t="s">
        <v>399</v>
      </c>
      <c r="B91" s="41" t="s">
        <v>23</v>
      </c>
      <c r="C91" s="17" t="s">
        <v>24</v>
      </c>
      <c r="D91" s="8" t="s">
        <v>387</v>
      </c>
      <c r="E91" s="22" t="s">
        <v>400</v>
      </c>
      <c r="F91" s="8" t="s">
        <v>401</v>
      </c>
      <c r="G91" s="28" t="n">
        <f aca="false">COUNTIF('Screen List'!$B:$B,A91)</f>
        <v>1</v>
      </c>
      <c r="H91" s="8" t="s">
        <v>402</v>
      </c>
      <c r="I91" s="35" t="s">
        <v>71</v>
      </c>
      <c r="J91" s="29" t="n">
        <v>1</v>
      </c>
      <c r="K91" s="9" t="n">
        <f aca="false">WORKDAY(L90,1,Holidays)</f>
        <v>46342</v>
      </c>
      <c r="L91" s="9" t="n">
        <f aca="false">WORKDAY(K91,MAX(J91,1)-1,Holidays)</f>
        <v>46342</v>
      </c>
      <c r="M91" s="30"/>
      <c r="N91" s="31" t="s">
        <v>53</v>
      </c>
      <c r="O91" s="32"/>
      <c r="P91" s="32"/>
      <c r="Q91" s="30"/>
    </row>
    <row r="92" customFormat="false" ht="15" hidden="false" customHeight="false" outlineLevel="0" collapsed="false">
      <c r="A92" s="40" t="s">
        <v>403</v>
      </c>
      <c r="B92" s="41" t="s">
        <v>23</v>
      </c>
      <c r="C92" s="17" t="s">
        <v>24</v>
      </c>
      <c r="D92" s="8" t="s">
        <v>387</v>
      </c>
      <c r="E92" s="22" t="s">
        <v>404</v>
      </c>
      <c r="F92" s="8" t="s">
        <v>405</v>
      </c>
      <c r="G92" s="28" t="n">
        <f aca="false">COUNTIF('Screen List'!$B:$B,A92)</f>
        <v>1</v>
      </c>
      <c r="H92" s="8" t="s">
        <v>406</v>
      </c>
      <c r="I92" s="35" t="s">
        <v>71</v>
      </c>
      <c r="J92" s="29" t="n">
        <v>1</v>
      </c>
      <c r="K92" s="9" t="n">
        <f aca="false">WORKDAY(L91,1,Holidays)</f>
        <v>46343</v>
      </c>
      <c r="L92" s="9" t="n">
        <f aca="false">WORKDAY(K92,MAX(J92,1)-1,Holidays)</f>
        <v>46343</v>
      </c>
      <c r="M92" s="30"/>
      <c r="N92" s="31" t="s">
        <v>53</v>
      </c>
      <c r="O92" s="32"/>
      <c r="P92" s="32"/>
      <c r="Q92" s="30"/>
    </row>
    <row r="93" customFormat="false" ht="15" hidden="false" customHeight="false" outlineLevel="0" collapsed="false">
      <c r="G93" s="24" t="n">
        <f aca="false">SUM(G5:G92)</f>
        <v>89</v>
      </c>
      <c r="I93" s="22" t="s">
        <v>407</v>
      </c>
      <c r="J93" s="24" t="n">
        <f aca="false">SUM(J5:J92)</f>
        <v>166</v>
      </c>
    </row>
  </sheetData>
  <autoFilter ref="A4:Q92"/>
  <conditionalFormatting sqref="A5:Q92">
    <cfRule type="expression" priority="2" aboveAverage="0" equalAverage="0" bottom="0" percent="0" rank="0" text="" dxfId="12">
      <formula>$N5="Done"</formula>
    </cfRule>
  </conditionalFormatting>
  <conditionalFormatting sqref="N5:N92">
    <cfRule type="expression" priority="3" aboveAverage="0" equalAverage="0" bottom="0" percent="0" rank="0" text="" dxfId="13">
      <formula>$N5="Blocked"</formula>
    </cfRule>
    <cfRule type="expression" priority="4" aboveAverage="0" equalAverage="0" bottom="0" percent="0" rank="0" text="" dxfId="14">
      <formula>$N5="In progress"</formula>
    </cfRule>
    <cfRule type="expression" priority="5" aboveAverage="0" equalAverage="0" bottom="0" percent="0" rank="0" text="" dxfId="15">
      <formula>$N5="Done"</formula>
    </cfRule>
  </conditionalFormatting>
  <dataValidations count="1">
    <dataValidation allowBlank="true" errorStyle="stop" operator="between" showDropDown="false" showErrorMessage="false" showInputMessage="false" sqref="N5:N92" type="list">
      <formula1>"Not started,In progress,In review,Blocked,Done"</formula1>
      <formula2>0</formula2>
    </dataValidation>
  </dataValidations>
  <hyperlinks>
    <hyperlink ref="I10" r:id="rId1" display="Open"/>
    <hyperlink ref="I16" r:id="rId2" display="Open"/>
    <hyperlink ref="I17" r:id="rId3" display="Open"/>
    <hyperlink ref="I18" r:id="rId4" display="Open"/>
    <hyperlink ref="I19" r:id="rId5" display="Open"/>
    <hyperlink ref="I22" r:id="rId6" display="Open"/>
    <hyperlink ref="I23" r:id="rId7" display="Open"/>
    <hyperlink ref="I24" r:id="rId8" display="Open"/>
    <hyperlink ref="I25" r:id="rId9" display="Open"/>
    <hyperlink ref="I26" r:id="rId10" display="Open"/>
    <hyperlink ref="I27" r:id="rId11" display="Open"/>
    <hyperlink ref="I28" r:id="rId12" display="Open"/>
    <hyperlink ref="I29" r:id="rId13" display="Open"/>
    <hyperlink ref="I30" r:id="rId14" display="Open"/>
    <hyperlink ref="I31" r:id="rId15" display="Open"/>
    <hyperlink ref="I32" r:id="rId16" display="Open"/>
    <hyperlink ref="I33" r:id="rId17" display="Open"/>
    <hyperlink ref="I34" r:id="rId18" display="Open"/>
    <hyperlink ref="I35" r:id="rId19" display="Open"/>
    <hyperlink ref="I36" r:id="rId20" display="Open"/>
    <hyperlink ref="I37" r:id="rId21" display="Open"/>
    <hyperlink ref="I38" r:id="rId22" display="Open"/>
    <hyperlink ref="I39" r:id="rId23" display="Open"/>
    <hyperlink ref="I40" r:id="rId24" display="Open"/>
    <hyperlink ref="I41" r:id="rId25" display="Open"/>
    <hyperlink ref="I46" r:id="rId26" display="Open"/>
    <hyperlink ref="I47" r:id="rId27" display="Open"/>
    <hyperlink ref="I48" r:id="rId28" display="Open"/>
    <hyperlink ref="I49" r:id="rId29" display="Open"/>
    <hyperlink ref="I50" r:id="rId30" display="Open"/>
    <hyperlink ref="I51" r:id="rId31" display="Open"/>
    <hyperlink ref="I52" r:id="rId32" display="Open"/>
    <hyperlink ref="I53" r:id="rId33" display="Open"/>
    <hyperlink ref="I54" r:id="rId34" display="Open"/>
    <hyperlink ref="I55" r:id="rId35" display="Open"/>
    <hyperlink ref="I56" r:id="rId36" display="Open"/>
    <hyperlink ref="I57" r:id="rId37" display="Open"/>
    <hyperlink ref="I58" r:id="rId38" display="Open"/>
    <hyperlink ref="I59" r:id="rId39" display="Open"/>
    <hyperlink ref="I60" r:id="rId40" display="Open"/>
    <hyperlink ref="I61" r:id="rId41" display="Open"/>
    <hyperlink ref="I62" r:id="rId42" display="Open"/>
    <hyperlink ref="I63" r:id="rId43" display="Open"/>
    <hyperlink ref="I64" r:id="rId44" display="Open"/>
    <hyperlink ref="I65" r:id="rId45" display="Open"/>
    <hyperlink ref="I66" r:id="rId46" display="Open"/>
    <hyperlink ref="I67" r:id="rId47" display="Open"/>
    <hyperlink ref="I68" r:id="rId48" display="Open"/>
    <hyperlink ref="I69" r:id="rId49" display="Open"/>
    <hyperlink ref="I70" r:id="rId50" display="Open"/>
    <hyperlink ref="I71" r:id="rId51" display="Open"/>
    <hyperlink ref="I72" r:id="rId52" display="Open"/>
    <hyperlink ref="I73" r:id="rId53" display="Open"/>
    <hyperlink ref="I74" r:id="rId54" display="Open"/>
    <hyperlink ref="I75" r:id="rId55" display="Open"/>
    <hyperlink ref="I76" r:id="rId56" display="Open"/>
    <hyperlink ref="I77" r:id="rId57" display="Open"/>
    <hyperlink ref="I78" r:id="rId58" display="Open"/>
    <hyperlink ref="I79" r:id="rId59" display="Open"/>
    <hyperlink ref="I80" r:id="rId60" display="Open"/>
    <hyperlink ref="I81" r:id="rId61" display="Open"/>
    <hyperlink ref="I82" r:id="rId62" display="Open"/>
    <hyperlink ref="I83" r:id="rId63" display="Open"/>
    <hyperlink ref="I84" r:id="rId64" display="Open"/>
    <hyperlink ref="I85" r:id="rId65" display="Open"/>
    <hyperlink ref="I86" r:id="rId66" display="Open"/>
    <hyperlink ref="I87" r:id="rId67" display="Open"/>
    <hyperlink ref="I88" r:id="rId68" display="Open"/>
    <hyperlink ref="I89" r:id="rId69" display="Open"/>
    <hyperlink ref="I90" r:id="rId70" display="Open"/>
    <hyperlink ref="I91" r:id="rId71" display="Open"/>
    <hyperlink ref="I92" r:id="rId72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8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15" hidden="false" customHeight="false" outlineLevel="0" collapsed="false">
      <c r="A4" s="3" t="s">
        <v>410</v>
      </c>
      <c r="B4" s="3" t="s">
        <v>36</v>
      </c>
      <c r="C4" s="3" t="s">
        <v>3</v>
      </c>
      <c r="D4" s="3" t="s">
        <v>38</v>
      </c>
      <c r="E4" s="3" t="s">
        <v>411</v>
      </c>
      <c r="F4" s="3" t="s">
        <v>41</v>
      </c>
    </row>
    <row r="5" customFormat="false" ht="15" hidden="false" customHeight="false" outlineLevel="0" collapsed="false">
      <c r="A5" s="8" t="n">
        <v>1</v>
      </c>
      <c r="B5" s="8" t="s">
        <v>66</v>
      </c>
      <c r="C5" s="8" t="s">
        <v>27</v>
      </c>
      <c r="D5" s="8" t="s">
        <v>68</v>
      </c>
      <c r="E5" s="8" t="s">
        <v>70</v>
      </c>
      <c r="F5" s="35" t="s">
        <v>71</v>
      </c>
    </row>
    <row r="6" customFormat="false" ht="15" hidden="false" customHeight="false" outlineLevel="0" collapsed="false">
      <c r="A6" s="8" t="n">
        <v>2</v>
      </c>
      <c r="B6" s="8" t="s">
        <v>87</v>
      </c>
      <c r="C6" s="8" t="s">
        <v>18</v>
      </c>
      <c r="D6" s="8" t="s">
        <v>89</v>
      </c>
      <c r="E6" s="8" t="s">
        <v>412</v>
      </c>
      <c r="F6" s="35" t="s">
        <v>71</v>
      </c>
    </row>
    <row r="7" customFormat="false" ht="15" hidden="false" customHeight="false" outlineLevel="0" collapsed="false">
      <c r="A7" s="8" t="n">
        <v>3</v>
      </c>
      <c r="B7" s="8" t="s">
        <v>87</v>
      </c>
      <c r="C7" s="8" t="s">
        <v>18</v>
      </c>
      <c r="D7" s="8" t="s">
        <v>89</v>
      </c>
      <c r="E7" s="8" t="s">
        <v>412</v>
      </c>
      <c r="F7" s="35" t="s">
        <v>71</v>
      </c>
    </row>
    <row r="8" customFormat="false" ht="15" hidden="false" customHeight="false" outlineLevel="0" collapsed="false">
      <c r="A8" s="8" t="n">
        <v>4</v>
      </c>
      <c r="B8" s="8" t="s">
        <v>92</v>
      </c>
      <c r="C8" s="8" t="s">
        <v>18</v>
      </c>
      <c r="D8" s="8" t="s">
        <v>93</v>
      </c>
      <c r="E8" s="8" t="s">
        <v>95</v>
      </c>
      <c r="F8" s="35" t="s">
        <v>71</v>
      </c>
    </row>
    <row r="9" customFormat="false" ht="15" hidden="false" customHeight="false" outlineLevel="0" collapsed="false">
      <c r="A9" s="8" t="n">
        <v>5</v>
      </c>
      <c r="B9" s="8" t="s">
        <v>96</v>
      </c>
      <c r="C9" s="8" t="s">
        <v>18</v>
      </c>
      <c r="D9" s="8" t="s">
        <v>97</v>
      </c>
      <c r="E9" s="8" t="s">
        <v>99</v>
      </c>
      <c r="F9" s="35" t="s">
        <v>71</v>
      </c>
    </row>
    <row r="10" customFormat="false" ht="15" hidden="false" customHeight="false" outlineLevel="0" collapsed="false">
      <c r="A10" s="8" t="n">
        <v>6</v>
      </c>
      <c r="B10" s="8" t="s">
        <v>100</v>
      </c>
      <c r="C10" s="8" t="s">
        <v>18</v>
      </c>
      <c r="D10" s="8" t="s">
        <v>101</v>
      </c>
      <c r="E10" s="8" t="s">
        <v>103</v>
      </c>
      <c r="F10" s="35" t="s">
        <v>71</v>
      </c>
    </row>
    <row r="11" customFormat="false" ht="15" hidden="false" customHeight="false" outlineLevel="0" collapsed="false">
      <c r="A11" s="8" t="n">
        <v>7</v>
      </c>
      <c r="B11" s="8" t="s">
        <v>110</v>
      </c>
      <c r="C11" s="8" t="s">
        <v>18</v>
      </c>
      <c r="D11" s="8" t="s">
        <v>112</v>
      </c>
      <c r="E11" s="8" t="s">
        <v>114</v>
      </c>
      <c r="F11" s="35" t="s">
        <v>71</v>
      </c>
    </row>
    <row r="12" customFormat="false" ht="15" hidden="false" customHeight="false" outlineLevel="0" collapsed="false">
      <c r="A12" s="8" t="n">
        <v>8</v>
      </c>
      <c r="B12" s="8" t="s">
        <v>115</v>
      </c>
      <c r="C12" s="8" t="s">
        <v>18</v>
      </c>
      <c r="D12" s="8" t="s">
        <v>116</v>
      </c>
      <c r="E12" s="8" t="s">
        <v>413</v>
      </c>
      <c r="F12" s="35" t="s">
        <v>71</v>
      </c>
    </row>
    <row r="13" customFormat="false" ht="15" hidden="false" customHeight="false" outlineLevel="0" collapsed="false">
      <c r="A13" s="8" t="n">
        <v>9</v>
      </c>
      <c r="B13" s="8" t="s">
        <v>115</v>
      </c>
      <c r="C13" s="8" t="s">
        <v>18</v>
      </c>
      <c r="D13" s="8" t="s">
        <v>116</v>
      </c>
      <c r="E13" s="8" t="s">
        <v>414</v>
      </c>
      <c r="F13" s="35" t="s">
        <v>71</v>
      </c>
    </row>
    <row r="14" customFormat="false" ht="15" hidden="false" customHeight="false" outlineLevel="0" collapsed="false">
      <c r="A14" s="8" t="n">
        <v>10</v>
      </c>
      <c r="B14" s="8" t="s">
        <v>115</v>
      </c>
      <c r="C14" s="8" t="s">
        <v>18</v>
      </c>
      <c r="D14" s="8" t="s">
        <v>116</v>
      </c>
      <c r="E14" s="8" t="s">
        <v>415</v>
      </c>
      <c r="F14" s="35" t="s">
        <v>71</v>
      </c>
    </row>
    <row r="15" customFormat="false" ht="15" hidden="false" customHeight="false" outlineLevel="0" collapsed="false">
      <c r="A15" s="8" t="n">
        <v>11</v>
      </c>
      <c r="B15" s="8" t="s">
        <v>115</v>
      </c>
      <c r="C15" s="8" t="s">
        <v>18</v>
      </c>
      <c r="D15" s="8" t="s">
        <v>116</v>
      </c>
      <c r="E15" s="8" t="s">
        <v>416</v>
      </c>
      <c r="F15" s="35" t="s">
        <v>71</v>
      </c>
    </row>
    <row r="16" customFormat="false" ht="15" hidden="false" customHeight="false" outlineLevel="0" collapsed="false">
      <c r="A16" s="8" t="n">
        <v>12</v>
      </c>
      <c r="B16" s="8" t="s">
        <v>115</v>
      </c>
      <c r="C16" s="8" t="s">
        <v>18</v>
      </c>
      <c r="D16" s="8" t="s">
        <v>116</v>
      </c>
      <c r="E16" s="8" t="s">
        <v>417</v>
      </c>
      <c r="F16" s="35" t="s">
        <v>71</v>
      </c>
    </row>
    <row r="17" customFormat="false" ht="15" hidden="false" customHeight="false" outlineLevel="0" collapsed="false">
      <c r="A17" s="8" t="n">
        <v>13</v>
      </c>
      <c r="B17" s="8" t="s">
        <v>115</v>
      </c>
      <c r="C17" s="8" t="s">
        <v>18</v>
      </c>
      <c r="D17" s="8" t="s">
        <v>116</v>
      </c>
      <c r="E17" s="8" t="s">
        <v>417</v>
      </c>
      <c r="F17" s="35" t="s">
        <v>71</v>
      </c>
    </row>
    <row r="18" customFormat="false" ht="15" hidden="false" customHeight="false" outlineLevel="0" collapsed="false">
      <c r="A18" s="8" t="n">
        <v>14</v>
      </c>
      <c r="B18" s="8" t="s">
        <v>119</v>
      </c>
      <c r="C18" s="8" t="s">
        <v>18</v>
      </c>
      <c r="D18" s="8" t="s">
        <v>120</v>
      </c>
      <c r="E18" s="8" t="s">
        <v>122</v>
      </c>
      <c r="F18" s="35" t="s">
        <v>71</v>
      </c>
    </row>
    <row r="19" customFormat="false" ht="15" hidden="false" customHeight="false" outlineLevel="0" collapsed="false">
      <c r="A19" s="8" t="n">
        <v>15</v>
      </c>
      <c r="B19" s="8" t="s">
        <v>123</v>
      </c>
      <c r="C19" s="8" t="s">
        <v>18</v>
      </c>
      <c r="D19" s="8" t="s">
        <v>124</v>
      </c>
      <c r="E19" s="8" t="s">
        <v>126</v>
      </c>
      <c r="F19" s="35" t="s">
        <v>71</v>
      </c>
    </row>
    <row r="20" customFormat="false" ht="15" hidden="false" customHeight="false" outlineLevel="0" collapsed="false">
      <c r="A20" s="8" t="n">
        <v>16</v>
      </c>
      <c r="B20" s="8" t="s">
        <v>127</v>
      </c>
      <c r="C20" s="8" t="s">
        <v>18</v>
      </c>
      <c r="D20" s="8" t="s">
        <v>128</v>
      </c>
      <c r="E20" s="8" t="s">
        <v>130</v>
      </c>
      <c r="F20" s="35" t="s">
        <v>71</v>
      </c>
    </row>
    <row r="21" customFormat="false" ht="15" hidden="false" customHeight="false" outlineLevel="0" collapsed="false">
      <c r="A21" s="8" t="n">
        <v>17</v>
      </c>
      <c r="B21" s="8" t="s">
        <v>131</v>
      </c>
      <c r="C21" s="8" t="s">
        <v>18</v>
      </c>
      <c r="D21" s="8" t="s">
        <v>132</v>
      </c>
      <c r="E21" s="8" t="s">
        <v>134</v>
      </c>
      <c r="F21" s="35" t="s">
        <v>71</v>
      </c>
    </row>
    <row r="22" customFormat="false" ht="15" hidden="false" customHeight="false" outlineLevel="0" collapsed="false">
      <c r="A22" s="8" t="n">
        <v>18</v>
      </c>
      <c r="B22" s="8" t="s">
        <v>135</v>
      </c>
      <c r="C22" s="8" t="s">
        <v>18</v>
      </c>
      <c r="D22" s="8" t="s">
        <v>136</v>
      </c>
      <c r="E22" s="8" t="s">
        <v>138</v>
      </c>
      <c r="F22" s="35" t="s">
        <v>71</v>
      </c>
    </row>
    <row r="23" customFormat="false" ht="15" hidden="false" customHeight="false" outlineLevel="0" collapsed="false">
      <c r="A23" s="8" t="n">
        <v>19</v>
      </c>
      <c r="B23" s="8" t="s">
        <v>139</v>
      </c>
      <c r="C23" s="8" t="s">
        <v>18</v>
      </c>
      <c r="D23" s="8" t="s">
        <v>141</v>
      </c>
      <c r="E23" s="8" t="s">
        <v>418</v>
      </c>
      <c r="F23" s="35" t="s">
        <v>71</v>
      </c>
    </row>
    <row r="24" customFormat="false" ht="15" hidden="false" customHeight="false" outlineLevel="0" collapsed="false">
      <c r="A24" s="8" t="n">
        <v>20</v>
      </c>
      <c r="B24" s="8" t="s">
        <v>139</v>
      </c>
      <c r="C24" s="8" t="s">
        <v>18</v>
      </c>
      <c r="D24" s="8" t="s">
        <v>141</v>
      </c>
      <c r="E24" s="8" t="s">
        <v>419</v>
      </c>
      <c r="F24" s="35" t="s">
        <v>71</v>
      </c>
    </row>
    <row r="25" customFormat="false" ht="15" hidden="false" customHeight="false" outlineLevel="0" collapsed="false">
      <c r="A25" s="8" t="n">
        <v>21</v>
      </c>
      <c r="B25" s="8" t="s">
        <v>139</v>
      </c>
      <c r="C25" s="8" t="s">
        <v>18</v>
      </c>
      <c r="D25" s="8" t="s">
        <v>141</v>
      </c>
      <c r="E25" s="8" t="s">
        <v>420</v>
      </c>
      <c r="F25" s="35" t="s">
        <v>71</v>
      </c>
    </row>
    <row r="26" customFormat="false" ht="15" hidden="false" customHeight="false" outlineLevel="0" collapsed="false">
      <c r="A26" s="8" t="n">
        <v>22</v>
      </c>
      <c r="B26" s="8" t="s">
        <v>144</v>
      </c>
      <c r="C26" s="8" t="s">
        <v>18</v>
      </c>
      <c r="D26" s="8" t="s">
        <v>145</v>
      </c>
      <c r="E26" s="8" t="s">
        <v>147</v>
      </c>
      <c r="F26" s="35" t="s">
        <v>71</v>
      </c>
    </row>
    <row r="27" customFormat="false" ht="15" hidden="false" customHeight="false" outlineLevel="0" collapsed="false">
      <c r="A27" s="8" t="n">
        <v>23</v>
      </c>
      <c r="B27" s="8" t="s">
        <v>148</v>
      </c>
      <c r="C27" s="8" t="s">
        <v>18</v>
      </c>
      <c r="D27" s="8" t="s">
        <v>149</v>
      </c>
      <c r="E27" s="8" t="s">
        <v>151</v>
      </c>
      <c r="F27" s="35" t="s">
        <v>71</v>
      </c>
    </row>
    <row r="28" customFormat="false" ht="15" hidden="false" customHeight="false" outlineLevel="0" collapsed="false">
      <c r="A28" s="8" t="n">
        <v>24</v>
      </c>
      <c r="B28" s="8" t="s">
        <v>152</v>
      </c>
      <c r="C28" s="8" t="s">
        <v>18</v>
      </c>
      <c r="D28" s="8" t="s">
        <v>153</v>
      </c>
      <c r="E28" s="8" t="s">
        <v>155</v>
      </c>
      <c r="F28" s="35" t="s">
        <v>71</v>
      </c>
    </row>
    <row r="29" customFormat="false" ht="15" hidden="false" customHeight="false" outlineLevel="0" collapsed="false">
      <c r="A29" s="8" t="n">
        <v>25</v>
      </c>
      <c r="B29" s="8" t="s">
        <v>156</v>
      </c>
      <c r="C29" s="8" t="s">
        <v>18</v>
      </c>
      <c r="D29" s="8" t="s">
        <v>157</v>
      </c>
      <c r="E29" s="8" t="s">
        <v>159</v>
      </c>
      <c r="F29" s="35" t="s">
        <v>71</v>
      </c>
    </row>
    <row r="30" customFormat="false" ht="15" hidden="false" customHeight="false" outlineLevel="0" collapsed="false">
      <c r="A30" s="8" t="n">
        <v>26</v>
      </c>
      <c r="B30" s="8" t="s">
        <v>160</v>
      </c>
      <c r="C30" s="8" t="s">
        <v>18</v>
      </c>
      <c r="D30" s="8" t="s">
        <v>162</v>
      </c>
      <c r="E30" s="8" t="s">
        <v>164</v>
      </c>
      <c r="F30" s="35" t="s">
        <v>71</v>
      </c>
    </row>
    <row r="31" customFormat="false" ht="15" hidden="false" customHeight="false" outlineLevel="0" collapsed="false">
      <c r="A31" s="8" t="n">
        <v>27</v>
      </c>
      <c r="B31" s="8" t="s">
        <v>165</v>
      </c>
      <c r="C31" s="8" t="s">
        <v>18</v>
      </c>
      <c r="D31" s="8" t="s">
        <v>166</v>
      </c>
      <c r="E31" s="8" t="s">
        <v>168</v>
      </c>
      <c r="F31" s="35" t="s">
        <v>71</v>
      </c>
    </row>
    <row r="32" customFormat="false" ht="15" hidden="false" customHeight="false" outlineLevel="0" collapsed="false">
      <c r="A32" s="8" t="n">
        <v>28</v>
      </c>
      <c r="B32" s="8" t="s">
        <v>169</v>
      </c>
      <c r="C32" s="8" t="s">
        <v>21</v>
      </c>
      <c r="D32" s="8" t="s">
        <v>171</v>
      </c>
      <c r="E32" s="8" t="s">
        <v>173</v>
      </c>
      <c r="F32" s="35" t="s">
        <v>71</v>
      </c>
    </row>
    <row r="33" customFormat="false" ht="15" hidden="false" customHeight="false" outlineLevel="0" collapsed="false">
      <c r="A33" s="8" t="n">
        <v>29</v>
      </c>
      <c r="B33" s="8" t="s">
        <v>174</v>
      </c>
      <c r="C33" s="8" t="s">
        <v>21</v>
      </c>
      <c r="D33" s="8" t="s">
        <v>176</v>
      </c>
      <c r="E33" s="8" t="s">
        <v>178</v>
      </c>
      <c r="F33" s="35" t="s">
        <v>71</v>
      </c>
    </row>
    <row r="34" customFormat="false" ht="15" hidden="false" customHeight="false" outlineLevel="0" collapsed="false">
      <c r="A34" s="8" t="n">
        <v>30</v>
      </c>
      <c r="B34" s="8" t="s">
        <v>179</v>
      </c>
      <c r="C34" s="8" t="s">
        <v>21</v>
      </c>
      <c r="D34" s="8" t="s">
        <v>180</v>
      </c>
      <c r="E34" s="8" t="s">
        <v>182</v>
      </c>
      <c r="F34" s="35" t="s">
        <v>71</v>
      </c>
    </row>
    <row r="35" customFormat="false" ht="15" hidden="false" customHeight="false" outlineLevel="0" collapsed="false">
      <c r="A35" s="8" t="n">
        <v>31</v>
      </c>
      <c r="B35" s="8" t="s">
        <v>183</v>
      </c>
      <c r="C35" s="8" t="s">
        <v>21</v>
      </c>
      <c r="D35" s="8" t="s">
        <v>184</v>
      </c>
      <c r="E35" s="8" t="s">
        <v>186</v>
      </c>
      <c r="F35" s="35" t="s">
        <v>71</v>
      </c>
    </row>
    <row r="36" customFormat="false" ht="15" hidden="false" customHeight="false" outlineLevel="0" collapsed="false">
      <c r="A36" s="8" t="n">
        <v>32</v>
      </c>
      <c r="B36" s="8" t="s">
        <v>187</v>
      </c>
      <c r="C36" s="8" t="s">
        <v>21</v>
      </c>
      <c r="D36" s="8" t="s">
        <v>188</v>
      </c>
      <c r="E36" s="8" t="s">
        <v>190</v>
      </c>
      <c r="F36" s="35" t="s">
        <v>71</v>
      </c>
    </row>
    <row r="37" customFormat="false" ht="15" hidden="false" customHeight="false" outlineLevel="0" collapsed="false">
      <c r="A37" s="8" t="n">
        <v>33</v>
      </c>
      <c r="B37" s="8" t="s">
        <v>191</v>
      </c>
      <c r="C37" s="8" t="s">
        <v>21</v>
      </c>
      <c r="D37" s="8" t="s">
        <v>192</v>
      </c>
      <c r="E37" s="8" t="s">
        <v>194</v>
      </c>
      <c r="F37" s="35" t="s">
        <v>71</v>
      </c>
    </row>
    <row r="38" customFormat="false" ht="15" hidden="false" customHeight="false" outlineLevel="0" collapsed="false">
      <c r="A38" s="8" t="n">
        <v>34</v>
      </c>
      <c r="B38" s="8" t="s">
        <v>208</v>
      </c>
      <c r="C38" s="8" t="s">
        <v>21</v>
      </c>
      <c r="D38" s="8" t="s">
        <v>210</v>
      </c>
      <c r="E38" s="8" t="s">
        <v>212</v>
      </c>
      <c r="F38" s="35" t="s">
        <v>71</v>
      </c>
    </row>
    <row r="39" customFormat="false" ht="15" hidden="false" customHeight="false" outlineLevel="0" collapsed="false">
      <c r="A39" s="8" t="n">
        <v>35</v>
      </c>
      <c r="B39" s="8" t="s">
        <v>213</v>
      </c>
      <c r="C39" s="8" t="s">
        <v>21</v>
      </c>
      <c r="D39" s="8" t="s">
        <v>214</v>
      </c>
      <c r="E39" s="8" t="s">
        <v>216</v>
      </c>
      <c r="F39" s="35" t="s">
        <v>71</v>
      </c>
    </row>
    <row r="40" customFormat="false" ht="15" hidden="false" customHeight="false" outlineLevel="0" collapsed="false">
      <c r="A40" s="8" t="n">
        <v>36</v>
      </c>
      <c r="B40" s="8" t="s">
        <v>217</v>
      </c>
      <c r="C40" s="8" t="s">
        <v>21</v>
      </c>
      <c r="D40" s="8" t="s">
        <v>219</v>
      </c>
      <c r="E40" s="8" t="s">
        <v>221</v>
      </c>
      <c r="F40" s="35" t="s">
        <v>71</v>
      </c>
    </row>
    <row r="41" customFormat="false" ht="15" hidden="false" customHeight="false" outlineLevel="0" collapsed="false">
      <c r="A41" s="8" t="n">
        <v>37</v>
      </c>
      <c r="B41" s="8" t="s">
        <v>222</v>
      </c>
      <c r="C41" s="8" t="s">
        <v>21</v>
      </c>
      <c r="D41" s="8" t="s">
        <v>223</v>
      </c>
      <c r="E41" s="8" t="s">
        <v>225</v>
      </c>
      <c r="F41" s="35" t="s">
        <v>71</v>
      </c>
    </row>
    <row r="42" customFormat="false" ht="15" hidden="false" customHeight="false" outlineLevel="0" collapsed="false">
      <c r="A42" s="8" t="n">
        <v>38</v>
      </c>
      <c r="B42" s="8" t="s">
        <v>226</v>
      </c>
      <c r="C42" s="8" t="s">
        <v>21</v>
      </c>
      <c r="D42" s="8" t="s">
        <v>228</v>
      </c>
      <c r="E42" s="8" t="s">
        <v>230</v>
      </c>
      <c r="F42" s="35" t="s">
        <v>71</v>
      </c>
    </row>
    <row r="43" customFormat="false" ht="15" hidden="false" customHeight="false" outlineLevel="0" collapsed="false">
      <c r="A43" s="8" t="n">
        <v>39</v>
      </c>
      <c r="B43" s="8" t="s">
        <v>231</v>
      </c>
      <c r="C43" s="8" t="s">
        <v>21</v>
      </c>
      <c r="D43" s="8" t="s">
        <v>232</v>
      </c>
      <c r="E43" s="8" t="s">
        <v>234</v>
      </c>
      <c r="F43" s="35" t="s">
        <v>71</v>
      </c>
    </row>
    <row r="44" customFormat="false" ht="15" hidden="false" customHeight="false" outlineLevel="0" collapsed="false">
      <c r="A44" s="8" t="n">
        <v>40</v>
      </c>
      <c r="B44" s="8" t="s">
        <v>235</v>
      </c>
      <c r="C44" s="8" t="s">
        <v>21</v>
      </c>
      <c r="D44" s="8" t="s">
        <v>236</v>
      </c>
      <c r="E44" s="8" t="s">
        <v>238</v>
      </c>
      <c r="F44" s="35" t="s">
        <v>71</v>
      </c>
    </row>
    <row r="45" customFormat="false" ht="15" hidden="false" customHeight="false" outlineLevel="0" collapsed="false">
      <c r="A45" s="8" t="n">
        <v>41</v>
      </c>
      <c r="B45" s="8" t="s">
        <v>239</v>
      </c>
      <c r="C45" s="8" t="s">
        <v>21</v>
      </c>
      <c r="D45" s="8" t="s">
        <v>241</v>
      </c>
      <c r="E45" s="8" t="s">
        <v>243</v>
      </c>
      <c r="F45" s="35" t="s">
        <v>71</v>
      </c>
    </row>
    <row r="46" customFormat="false" ht="15" hidden="false" customHeight="false" outlineLevel="0" collapsed="false">
      <c r="A46" s="8" t="n">
        <v>42</v>
      </c>
      <c r="B46" s="8" t="s">
        <v>244</v>
      </c>
      <c r="C46" s="8" t="s">
        <v>21</v>
      </c>
      <c r="D46" s="8" t="s">
        <v>245</v>
      </c>
      <c r="E46" s="8" t="s">
        <v>247</v>
      </c>
      <c r="F46" s="35" t="s">
        <v>71</v>
      </c>
    </row>
    <row r="47" customFormat="false" ht="15" hidden="false" customHeight="false" outlineLevel="0" collapsed="false">
      <c r="A47" s="8" t="n">
        <v>43</v>
      </c>
      <c r="B47" s="8" t="s">
        <v>248</v>
      </c>
      <c r="C47" s="8" t="s">
        <v>21</v>
      </c>
      <c r="D47" s="8" t="s">
        <v>249</v>
      </c>
      <c r="E47" s="8" t="s">
        <v>421</v>
      </c>
      <c r="F47" s="35" t="s">
        <v>71</v>
      </c>
    </row>
    <row r="48" customFormat="false" ht="23.85" hidden="false" customHeight="false" outlineLevel="0" collapsed="false">
      <c r="A48" s="8" t="n">
        <v>44</v>
      </c>
      <c r="B48" s="8" t="s">
        <v>248</v>
      </c>
      <c r="C48" s="8" t="s">
        <v>21</v>
      </c>
      <c r="D48" s="8" t="s">
        <v>249</v>
      </c>
      <c r="E48" s="8" t="s">
        <v>422</v>
      </c>
      <c r="F48" s="35" t="s">
        <v>71</v>
      </c>
    </row>
    <row r="49" customFormat="false" ht="15" hidden="false" customHeight="false" outlineLevel="0" collapsed="false">
      <c r="A49" s="8" t="n">
        <v>45</v>
      </c>
      <c r="B49" s="8" t="s">
        <v>252</v>
      </c>
      <c r="C49" s="8" t="s">
        <v>21</v>
      </c>
      <c r="D49" s="8" t="s">
        <v>253</v>
      </c>
      <c r="E49" s="8" t="s">
        <v>255</v>
      </c>
      <c r="F49" s="35" t="s">
        <v>71</v>
      </c>
    </row>
    <row r="50" customFormat="false" ht="23.85" hidden="false" customHeight="false" outlineLevel="0" collapsed="false">
      <c r="A50" s="8" t="n">
        <v>46</v>
      </c>
      <c r="B50" s="8" t="s">
        <v>256</v>
      </c>
      <c r="C50" s="8" t="s">
        <v>21</v>
      </c>
      <c r="D50" s="8" t="s">
        <v>257</v>
      </c>
      <c r="E50" s="8" t="s">
        <v>259</v>
      </c>
      <c r="F50" s="35" t="s">
        <v>71</v>
      </c>
    </row>
    <row r="51" customFormat="false" ht="15" hidden="false" customHeight="false" outlineLevel="0" collapsed="false">
      <c r="A51" s="8" t="n">
        <v>47</v>
      </c>
      <c r="B51" s="8" t="s">
        <v>260</v>
      </c>
      <c r="C51" s="8" t="s">
        <v>21</v>
      </c>
      <c r="D51" s="8" t="s">
        <v>261</v>
      </c>
      <c r="E51" s="8" t="s">
        <v>263</v>
      </c>
      <c r="F51" s="35" t="s">
        <v>71</v>
      </c>
    </row>
    <row r="52" customFormat="false" ht="15" hidden="false" customHeight="false" outlineLevel="0" collapsed="false">
      <c r="A52" s="8" t="n">
        <v>48</v>
      </c>
      <c r="B52" s="8" t="s">
        <v>264</v>
      </c>
      <c r="C52" s="8" t="s">
        <v>21</v>
      </c>
      <c r="D52" s="8" t="s">
        <v>265</v>
      </c>
      <c r="E52" s="8" t="s">
        <v>267</v>
      </c>
      <c r="F52" s="35" t="s">
        <v>71</v>
      </c>
    </row>
    <row r="53" customFormat="false" ht="23.85" hidden="false" customHeight="false" outlineLevel="0" collapsed="false">
      <c r="A53" s="8" t="n">
        <v>49</v>
      </c>
      <c r="B53" s="8" t="s">
        <v>268</v>
      </c>
      <c r="C53" s="8" t="s">
        <v>21</v>
      </c>
      <c r="D53" s="8" t="s">
        <v>269</v>
      </c>
      <c r="E53" s="8" t="s">
        <v>271</v>
      </c>
      <c r="F53" s="35" t="s">
        <v>71</v>
      </c>
    </row>
    <row r="54" customFormat="false" ht="15" hidden="false" customHeight="false" outlineLevel="0" collapsed="false">
      <c r="A54" s="8" t="n">
        <v>50</v>
      </c>
      <c r="B54" s="8" t="s">
        <v>272</v>
      </c>
      <c r="C54" s="8" t="s">
        <v>21</v>
      </c>
      <c r="D54" s="8" t="s">
        <v>274</v>
      </c>
      <c r="E54" s="8" t="s">
        <v>276</v>
      </c>
      <c r="F54" s="35" t="s">
        <v>71</v>
      </c>
    </row>
    <row r="55" customFormat="false" ht="15" hidden="false" customHeight="false" outlineLevel="0" collapsed="false">
      <c r="A55" s="8" t="n">
        <v>51</v>
      </c>
      <c r="B55" s="8" t="s">
        <v>277</v>
      </c>
      <c r="C55" s="8" t="s">
        <v>21</v>
      </c>
      <c r="D55" s="8" t="s">
        <v>279</v>
      </c>
      <c r="E55" s="8" t="s">
        <v>281</v>
      </c>
      <c r="F55" s="35" t="s">
        <v>71</v>
      </c>
    </row>
    <row r="56" customFormat="false" ht="15" hidden="false" customHeight="false" outlineLevel="0" collapsed="false">
      <c r="A56" s="8" t="n">
        <v>52</v>
      </c>
      <c r="B56" s="8" t="s">
        <v>282</v>
      </c>
      <c r="C56" s="8" t="s">
        <v>21</v>
      </c>
      <c r="D56" s="8" t="s">
        <v>283</v>
      </c>
      <c r="E56" s="8" t="s">
        <v>285</v>
      </c>
      <c r="F56" s="35" t="s">
        <v>71</v>
      </c>
    </row>
    <row r="57" customFormat="false" ht="15" hidden="false" customHeight="false" outlineLevel="0" collapsed="false">
      <c r="A57" s="8" t="n">
        <v>53</v>
      </c>
      <c r="B57" s="8" t="s">
        <v>286</v>
      </c>
      <c r="C57" s="8" t="s">
        <v>21</v>
      </c>
      <c r="D57" s="8" t="s">
        <v>287</v>
      </c>
      <c r="E57" s="8" t="s">
        <v>289</v>
      </c>
      <c r="F57" s="35" t="s">
        <v>71</v>
      </c>
    </row>
    <row r="58" customFormat="false" ht="15" hidden="false" customHeight="false" outlineLevel="0" collapsed="false">
      <c r="A58" s="8" t="n">
        <v>54</v>
      </c>
      <c r="B58" s="8" t="s">
        <v>290</v>
      </c>
      <c r="C58" s="8" t="s">
        <v>21</v>
      </c>
      <c r="D58" s="8" t="s">
        <v>291</v>
      </c>
      <c r="E58" s="8" t="s">
        <v>293</v>
      </c>
      <c r="F58" s="35" t="s">
        <v>71</v>
      </c>
    </row>
    <row r="59" customFormat="false" ht="15" hidden="false" customHeight="false" outlineLevel="0" collapsed="false">
      <c r="A59" s="8" t="n">
        <v>55</v>
      </c>
      <c r="B59" s="8" t="s">
        <v>294</v>
      </c>
      <c r="C59" s="8" t="s">
        <v>21</v>
      </c>
      <c r="D59" s="8" t="s">
        <v>295</v>
      </c>
      <c r="E59" s="8" t="s">
        <v>297</v>
      </c>
      <c r="F59" s="35" t="s">
        <v>71</v>
      </c>
    </row>
    <row r="60" customFormat="false" ht="15" hidden="false" customHeight="false" outlineLevel="0" collapsed="false">
      <c r="A60" s="8" t="n">
        <v>56</v>
      </c>
      <c r="B60" s="8" t="s">
        <v>298</v>
      </c>
      <c r="C60" s="8" t="s">
        <v>21</v>
      </c>
      <c r="D60" s="8" t="s">
        <v>299</v>
      </c>
      <c r="E60" s="8" t="s">
        <v>301</v>
      </c>
      <c r="F60" s="35" t="s">
        <v>71</v>
      </c>
    </row>
    <row r="61" customFormat="false" ht="15" hidden="false" customHeight="false" outlineLevel="0" collapsed="false">
      <c r="A61" s="8" t="n">
        <v>57</v>
      </c>
      <c r="B61" s="8" t="s">
        <v>302</v>
      </c>
      <c r="C61" s="8" t="s">
        <v>21</v>
      </c>
      <c r="D61" s="8" t="s">
        <v>303</v>
      </c>
      <c r="E61" s="8" t="s">
        <v>423</v>
      </c>
      <c r="F61" s="35" t="s">
        <v>71</v>
      </c>
    </row>
    <row r="62" customFormat="false" ht="15" hidden="false" customHeight="false" outlineLevel="0" collapsed="false">
      <c r="A62" s="8" t="n">
        <v>58</v>
      </c>
      <c r="B62" s="8" t="s">
        <v>302</v>
      </c>
      <c r="C62" s="8" t="s">
        <v>21</v>
      </c>
      <c r="D62" s="8" t="s">
        <v>303</v>
      </c>
      <c r="E62" s="8" t="s">
        <v>424</v>
      </c>
      <c r="F62" s="35" t="s">
        <v>71</v>
      </c>
    </row>
    <row r="63" customFormat="false" ht="15" hidden="false" customHeight="false" outlineLevel="0" collapsed="false">
      <c r="A63" s="8" t="n">
        <v>59</v>
      </c>
      <c r="B63" s="8" t="s">
        <v>302</v>
      </c>
      <c r="C63" s="8" t="s">
        <v>21</v>
      </c>
      <c r="D63" s="8" t="s">
        <v>303</v>
      </c>
      <c r="E63" s="8" t="s">
        <v>425</v>
      </c>
      <c r="F63" s="35" t="s">
        <v>71</v>
      </c>
    </row>
    <row r="64" customFormat="false" ht="15" hidden="false" customHeight="false" outlineLevel="0" collapsed="false">
      <c r="A64" s="8" t="n">
        <v>60</v>
      </c>
      <c r="B64" s="8" t="s">
        <v>306</v>
      </c>
      <c r="C64" s="8" t="s">
        <v>21</v>
      </c>
      <c r="D64" s="8" t="s">
        <v>307</v>
      </c>
      <c r="E64" s="8" t="s">
        <v>309</v>
      </c>
      <c r="F64" s="35" t="s">
        <v>71</v>
      </c>
    </row>
    <row r="65" customFormat="false" ht="15" hidden="false" customHeight="false" outlineLevel="0" collapsed="false">
      <c r="A65" s="8" t="n">
        <v>61</v>
      </c>
      <c r="B65" s="8" t="s">
        <v>310</v>
      </c>
      <c r="C65" s="8" t="s">
        <v>21</v>
      </c>
      <c r="D65" s="8" t="s">
        <v>311</v>
      </c>
      <c r="E65" s="8" t="s">
        <v>313</v>
      </c>
      <c r="F65" s="35" t="s">
        <v>71</v>
      </c>
    </row>
    <row r="66" customFormat="false" ht="15" hidden="false" customHeight="false" outlineLevel="0" collapsed="false">
      <c r="A66" s="8" t="n">
        <v>62</v>
      </c>
      <c r="B66" s="8" t="s">
        <v>314</v>
      </c>
      <c r="C66" s="8" t="s">
        <v>21</v>
      </c>
      <c r="D66" s="8" t="s">
        <v>316</v>
      </c>
      <c r="E66" s="8" t="s">
        <v>426</v>
      </c>
      <c r="F66" s="35" t="s">
        <v>71</v>
      </c>
    </row>
    <row r="67" customFormat="false" ht="15" hidden="false" customHeight="false" outlineLevel="0" collapsed="false">
      <c r="A67" s="8" t="n">
        <v>63</v>
      </c>
      <c r="B67" s="8" t="s">
        <v>314</v>
      </c>
      <c r="C67" s="8" t="s">
        <v>21</v>
      </c>
      <c r="D67" s="8" t="s">
        <v>316</v>
      </c>
      <c r="E67" s="8" t="s">
        <v>427</v>
      </c>
      <c r="F67" s="35" t="s">
        <v>71</v>
      </c>
    </row>
    <row r="68" customFormat="false" ht="15" hidden="false" customHeight="false" outlineLevel="0" collapsed="false">
      <c r="A68" s="8" t="n">
        <v>64</v>
      </c>
      <c r="B68" s="8" t="s">
        <v>319</v>
      </c>
      <c r="C68" s="8" t="s">
        <v>21</v>
      </c>
      <c r="D68" s="8" t="s">
        <v>320</v>
      </c>
      <c r="E68" s="8" t="s">
        <v>428</v>
      </c>
      <c r="F68" s="35" t="s">
        <v>71</v>
      </c>
    </row>
    <row r="69" customFormat="false" ht="15" hidden="false" customHeight="false" outlineLevel="0" collapsed="false">
      <c r="A69" s="8" t="n">
        <v>65</v>
      </c>
      <c r="B69" s="8" t="s">
        <v>319</v>
      </c>
      <c r="C69" s="8" t="s">
        <v>21</v>
      </c>
      <c r="D69" s="8" t="s">
        <v>320</v>
      </c>
      <c r="E69" s="8" t="s">
        <v>429</v>
      </c>
      <c r="F69" s="35" t="s">
        <v>71</v>
      </c>
    </row>
    <row r="70" customFormat="false" ht="15" hidden="false" customHeight="false" outlineLevel="0" collapsed="false">
      <c r="A70" s="8" t="n">
        <v>66</v>
      </c>
      <c r="B70" s="8" t="s">
        <v>323</v>
      </c>
      <c r="C70" s="8" t="s">
        <v>21</v>
      </c>
      <c r="D70" s="8" t="s">
        <v>324</v>
      </c>
      <c r="E70" s="8" t="s">
        <v>326</v>
      </c>
      <c r="F70" s="35" t="s">
        <v>71</v>
      </c>
    </row>
    <row r="71" customFormat="false" ht="15" hidden="false" customHeight="false" outlineLevel="0" collapsed="false">
      <c r="A71" s="8" t="n">
        <v>67</v>
      </c>
      <c r="B71" s="8" t="s">
        <v>327</v>
      </c>
      <c r="C71" s="8" t="s">
        <v>21</v>
      </c>
      <c r="D71" s="8" t="s">
        <v>328</v>
      </c>
      <c r="E71" s="8" t="s">
        <v>430</v>
      </c>
      <c r="F71" s="35" t="s">
        <v>71</v>
      </c>
    </row>
    <row r="72" customFormat="false" ht="15" hidden="false" customHeight="false" outlineLevel="0" collapsed="false">
      <c r="A72" s="8" t="n">
        <v>68</v>
      </c>
      <c r="B72" s="8" t="s">
        <v>327</v>
      </c>
      <c r="C72" s="8" t="s">
        <v>21</v>
      </c>
      <c r="D72" s="8" t="s">
        <v>328</v>
      </c>
      <c r="E72" s="8" t="s">
        <v>431</v>
      </c>
      <c r="F72" s="35" t="s">
        <v>71</v>
      </c>
    </row>
    <row r="73" customFormat="false" ht="15" hidden="false" customHeight="false" outlineLevel="0" collapsed="false">
      <c r="A73" s="8" t="n">
        <v>69</v>
      </c>
      <c r="B73" s="8" t="s">
        <v>327</v>
      </c>
      <c r="C73" s="8" t="s">
        <v>21</v>
      </c>
      <c r="D73" s="8" t="s">
        <v>328</v>
      </c>
      <c r="E73" s="8" t="s">
        <v>432</v>
      </c>
      <c r="F73" s="35" t="s">
        <v>71</v>
      </c>
    </row>
    <row r="74" customFormat="false" ht="15" hidden="false" customHeight="false" outlineLevel="0" collapsed="false">
      <c r="A74" s="8" t="n">
        <v>70</v>
      </c>
      <c r="B74" s="8" t="s">
        <v>331</v>
      </c>
      <c r="C74" s="8" t="s">
        <v>21</v>
      </c>
      <c r="D74" s="8" t="s">
        <v>332</v>
      </c>
      <c r="E74" s="8" t="s">
        <v>433</v>
      </c>
      <c r="F74" s="35" t="s">
        <v>71</v>
      </c>
    </row>
    <row r="75" customFormat="false" ht="15" hidden="false" customHeight="false" outlineLevel="0" collapsed="false">
      <c r="A75" s="8" t="n">
        <v>71</v>
      </c>
      <c r="B75" s="8" t="s">
        <v>331</v>
      </c>
      <c r="C75" s="8" t="s">
        <v>21</v>
      </c>
      <c r="D75" s="8" t="s">
        <v>332</v>
      </c>
      <c r="E75" s="8" t="s">
        <v>434</v>
      </c>
      <c r="F75" s="35" t="s">
        <v>71</v>
      </c>
    </row>
    <row r="76" customFormat="false" ht="15" hidden="false" customHeight="false" outlineLevel="0" collapsed="false">
      <c r="A76" s="8" t="n">
        <v>72</v>
      </c>
      <c r="B76" s="8" t="s">
        <v>331</v>
      </c>
      <c r="C76" s="8" t="s">
        <v>21</v>
      </c>
      <c r="D76" s="8" t="s">
        <v>332</v>
      </c>
      <c r="E76" s="8" t="s">
        <v>435</v>
      </c>
      <c r="F76" s="35" t="s">
        <v>71</v>
      </c>
    </row>
    <row r="77" customFormat="false" ht="15" hidden="false" customHeight="false" outlineLevel="0" collapsed="false">
      <c r="A77" s="8" t="n">
        <v>73</v>
      </c>
      <c r="B77" s="8" t="s">
        <v>335</v>
      </c>
      <c r="C77" s="8" t="s">
        <v>30</v>
      </c>
      <c r="D77" s="8" t="s">
        <v>337</v>
      </c>
      <c r="E77" s="8" t="s">
        <v>339</v>
      </c>
      <c r="F77" s="35" t="s">
        <v>71</v>
      </c>
    </row>
    <row r="78" customFormat="false" ht="15" hidden="false" customHeight="false" outlineLevel="0" collapsed="false">
      <c r="A78" s="8" t="n">
        <v>74</v>
      </c>
      <c r="B78" s="8" t="s">
        <v>340</v>
      </c>
      <c r="C78" s="8" t="s">
        <v>30</v>
      </c>
      <c r="D78" s="8" t="s">
        <v>341</v>
      </c>
      <c r="E78" s="8" t="s">
        <v>343</v>
      </c>
      <c r="F78" s="35" t="s">
        <v>71</v>
      </c>
    </row>
    <row r="79" customFormat="false" ht="15" hidden="false" customHeight="false" outlineLevel="0" collapsed="false">
      <c r="A79" s="8" t="n">
        <v>75</v>
      </c>
      <c r="B79" s="8" t="s">
        <v>344</v>
      </c>
      <c r="C79" s="8" t="s">
        <v>30</v>
      </c>
      <c r="D79" s="8" t="s">
        <v>345</v>
      </c>
      <c r="E79" s="8" t="s">
        <v>347</v>
      </c>
      <c r="F79" s="35" t="s">
        <v>71</v>
      </c>
    </row>
    <row r="80" customFormat="false" ht="15" hidden="false" customHeight="false" outlineLevel="0" collapsed="false">
      <c r="A80" s="8" t="n">
        <v>76</v>
      </c>
      <c r="B80" s="8" t="s">
        <v>348</v>
      </c>
      <c r="C80" s="8" t="s">
        <v>30</v>
      </c>
      <c r="D80" s="8" t="s">
        <v>349</v>
      </c>
      <c r="E80" s="8" t="s">
        <v>351</v>
      </c>
      <c r="F80" s="35" t="s">
        <v>71</v>
      </c>
    </row>
    <row r="81" customFormat="false" ht="15" hidden="false" customHeight="false" outlineLevel="0" collapsed="false">
      <c r="A81" s="8" t="n">
        <v>77</v>
      </c>
      <c r="B81" s="8" t="s">
        <v>352</v>
      </c>
      <c r="C81" s="8" t="s">
        <v>30</v>
      </c>
      <c r="D81" s="8" t="s">
        <v>353</v>
      </c>
      <c r="E81" s="8" t="s">
        <v>355</v>
      </c>
      <c r="F81" s="35" t="s">
        <v>71</v>
      </c>
    </row>
    <row r="82" customFormat="false" ht="15" hidden="false" customHeight="false" outlineLevel="0" collapsed="false">
      <c r="A82" s="8" t="n">
        <v>78</v>
      </c>
      <c r="B82" s="8" t="s">
        <v>356</v>
      </c>
      <c r="C82" s="8" t="s">
        <v>30</v>
      </c>
      <c r="D82" s="8" t="s">
        <v>358</v>
      </c>
      <c r="E82" s="8" t="s">
        <v>360</v>
      </c>
      <c r="F82" s="35" t="s">
        <v>71</v>
      </c>
    </row>
    <row r="83" customFormat="false" ht="15" hidden="false" customHeight="false" outlineLevel="0" collapsed="false">
      <c r="A83" s="8" t="n">
        <v>79</v>
      </c>
      <c r="B83" s="8" t="s">
        <v>361</v>
      </c>
      <c r="C83" s="8" t="s">
        <v>24</v>
      </c>
      <c r="D83" s="8" t="s">
        <v>363</v>
      </c>
      <c r="E83" s="8" t="s">
        <v>365</v>
      </c>
      <c r="F83" s="35" t="s">
        <v>71</v>
      </c>
    </row>
    <row r="84" customFormat="false" ht="15" hidden="false" customHeight="false" outlineLevel="0" collapsed="false">
      <c r="A84" s="8" t="n">
        <v>80</v>
      </c>
      <c r="B84" s="8" t="s">
        <v>366</v>
      </c>
      <c r="C84" s="8" t="s">
        <v>24</v>
      </c>
      <c r="D84" s="8" t="s">
        <v>367</v>
      </c>
      <c r="E84" s="8" t="s">
        <v>369</v>
      </c>
      <c r="F84" s="35" t="s">
        <v>71</v>
      </c>
    </row>
    <row r="85" customFormat="false" ht="15" hidden="false" customHeight="false" outlineLevel="0" collapsed="false">
      <c r="A85" s="8" t="n">
        <v>81</v>
      </c>
      <c r="B85" s="8" t="s">
        <v>370</v>
      </c>
      <c r="C85" s="8" t="s">
        <v>24</v>
      </c>
      <c r="D85" s="8" t="s">
        <v>371</v>
      </c>
      <c r="E85" s="8" t="s">
        <v>373</v>
      </c>
      <c r="F85" s="35" t="s">
        <v>71</v>
      </c>
    </row>
    <row r="86" customFormat="false" ht="15" hidden="false" customHeight="false" outlineLevel="0" collapsed="false">
      <c r="A86" s="8" t="n">
        <v>82</v>
      </c>
      <c r="B86" s="8" t="s">
        <v>374</v>
      </c>
      <c r="C86" s="8" t="s">
        <v>24</v>
      </c>
      <c r="D86" s="8" t="s">
        <v>375</v>
      </c>
      <c r="E86" s="8" t="s">
        <v>377</v>
      </c>
      <c r="F86" s="35" t="s">
        <v>71</v>
      </c>
    </row>
    <row r="87" customFormat="false" ht="15" hidden="false" customHeight="false" outlineLevel="0" collapsed="false">
      <c r="A87" s="8" t="n">
        <v>83</v>
      </c>
      <c r="B87" s="8" t="s">
        <v>378</v>
      </c>
      <c r="C87" s="8" t="s">
        <v>24</v>
      </c>
      <c r="D87" s="8" t="s">
        <v>379</v>
      </c>
      <c r="E87" s="8" t="s">
        <v>381</v>
      </c>
      <c r="F87" s="35" t="s">
        <v>71</v>
      </c>
    </row>
    <row r="88" customFormat="false" ht="15" hidden="false" customHeight="false" outlineLevel="0" collapsed="false">
      <c r="A88" s="8" t="n">
        <v>84</v>
      </c>
      <c r="B88" s="8" t="s">
        <v>382</v>
      </c>
      <c r="C88" s="8" t="s">
        <v>24</v>
      </c>
      <c r="D88" s="8" t="s">
        <v>383</v>
      </c>
      <c r="E88" s="8" t="s">
        <v>385</v>
      </c>
      <c r="F88" s="35" t="s">
        <v>71</v>
      </c>
    </row>
    <row r="89" customFormat="false" ht="15" hidden="false" customHeight="false" outlineLevel="0" collapsed="false">
      <c r="A89" s="8" t="n">
        <v>85</v>
      </c>
      <c r="B89" s="8" t="s">
        <v>386</v>
      </c>
      <c r="C89" s="8" t="s">
        <v>24</v>
      </c>
      <c r="D89" s="8" t="s">
        <v>388</v>
      </c>
      <c r="E89" s="8" t="s">
        <v>390</v>
      </c>
      <c r="F89" s="35" t="s">
        <v>71</v>
      </c>
    </row>
    <row r="90" customFormat="false" ht="15" hidden="false" customHeight="false" outlineLevel="0" collapsed="false">
      <c r="A90" s="8" t="n">
        <v>86</v>
      </c>
      <c r="B90" s="8" t="s">
        <v>391</v>
      </c>
      <c r="C90" s="8" t="s">
        <v>24</v>
      </c>
      <c r="D90" s="8" t="s">
        <v>392</v>
      </c>
      <c r="E90" s="8" t="s">
        <v>394</v>
      </c>
      <c r="F90" s="35" t="s">
        <v>71</v>
      </c>
    </row>
    <row r="91" customFormat="false" ht="15" hidden="false" customHeight="false" outlineLevel="0" collapsed="false">
      <c r="A91" s="8" t="n">
        <v>87</v>
      </c>
      <c r="B91" s="8" t="s">
        <v>395</v>
      </c>
      <c r="C91" s="8" t="s">
        <v>24</v>
      </c>
      <c r="D91" s="8" t="s">
        <v>396</v>
      </c>
      <c r="E91" s="8" t="s">
        <v>398</v>
      </c>
      <c r="F91" s="35" t="s">
        <v>71</v>
      </c>
    </row>
    <row r="92" customFormat="false" ht="15" hidden="false" customHeight="false" outlineLevel="0" collapsed="false">
      <c r="A92" s="8" t="n">
        <v>88</v>
      </c>
      <c r="B92" s="8" t="s">
        <v>399</v>
      </c>
      <c r="C92" s="8" t="s">
        <v>24</v>
      </c>
      <c r="D92" s="8" t="s">
        <v>400</v>
      </c>
      <c r="E92" s="8" t="s">
        <v>402</v>
      </c>
      <c r="F92" s="35" t="s">
        <v>71</v>
      </c>
    </row>
    <row r="93" customFormat="false" ht="15" hidden="false" customHeight="false" outlineLevel="0" collapsed="false">
      <c r="A93" s="8" t="n">
        <v>89</v>
      </c>
      <c r="B93" s="8" t="s">
        <v>403</v>
      </c>
      <c r="C93" s="8" t="s">
        <v>24</v>
      </c>
      <c r="D93" s="8" t="s">
        <v>404</v>
      </c>
      <c r="E93" s="8" t="s">
        <v>406</v>
      </c>
      <c r="F93" s="35" t="s">
        <v>71</v>
      </c>
    </row>
  </sheetData>
  <autoFilter ref="A4:F93"/>
  <hyperlinks>
    <hyperlink ref="F5" r:id="rId1" display="Open"/>
    <hyperlink ref="F6" r:id="rId2" display="Open"/>
    <hyperlink ref="F7" r:id="rId3" display="Open"/>
    <hyperlink ref="F8" r:id="rId4" display="Open"/>
    <hyperlink ref="F9" r:id="rId5" display="Open"/>
    <hyperlink ref="F10" r:id="rId6" display="Open"/>
    <hyperlink ref="F11" r:id="rId7" display="Open"/>
    <hyperlink ref="F12" r:id="rId8" display="Open"/>
    <hyperlink ref="F13" r:id="rId9" display="Open"/>
    <hyperlink ref="F14" r:id="rId10" display="Open"/>
    <hyperlink ref="F15" r:id="rId11" display="Open"/>
    <hyperlink ref="F16" r:id="rId12" display="Open"/>
    <hyperlink ref="F17" r:id="rId13" display="Open"/>
    <hyperlink ref="F18" r:id="rId14" display="Open"/>
    <hyperlink ref="F19" r:id="rId15" display="Open"/>
    <hyperlink ref="F20" r:id="rId16" display="Open"/>
    <hyperlink ref="F21" r:id="rId17" display="Open"/>
    <hyperlink ref="F22" r:id="rId18" display="Open"/>
    <hyperlink ref="F23" r:id="rId19" display="Open"/>
    <hyperlink ref="F24" r:id="rId20" display="Open"/>
    <hyperlink ref="F25" r:id="rId21" display="Open"/>
    <hyperlink ref="F26" r:id="rId22" display="Open"/>
    <hyperlink ref="F27" r:id="rId23" display="Open"/>
    <hyperlink ref="F28" r:id="rId24" display="Open"/>
    <hyperlink ref="F29" r:id="rId25" display="Open"/>
    <hyperlink ref="F30" r:id="rId26" display="Open"/>
    <hyperlink ref="F31" r:id="rId27" display="Open"/>
    <hyperlink ref="F32" r:id="rId28" display="Open"/>
    <hyperlink ref="F33" r:id="rId29" display="Open"/>
    <hyperlink ref="F34" r:id="rId30" display="Open"/>
    <hyperlink ref="F35" r:id="rId31" display="Open"/>
    <hyperlink ref="F36" r:id="rId32" display="Open"/>
    <hyperlink ref="F37" r:id="rId33" display="Open"/>
    <hyperlink ref="F38" r:id="rId34" display="Open"/>
    <hyperlink ref="F39" r:id="rId35" display="Open"/>
    <hyperlink ref="F40" r:id="rId36" display="Open"/>
    <hyperlink ref="F41" r:id="rId37" display="Open"/>
    <hyperlink ref="F42" r:id="rId38" display="Open"/>
    <hyperlink ref="F43" r:id="rId39" display="Open"/>
    <hyperlink ref="F44" r:id="rId40" display="Open"/>
    <hyperlink ref="F45" r:id="rId41" display="Open"/>
    <hyperlink ref="F46" r:id="rId42" display="Open"/>
    <hyperlink ref="F47" r:id="rId43" display="Open"/>
    <hyperlink ref="F48" r:id="rId44" display="Open"/>
    <hyperlink ref="F49" r:id="rId45" display="Open"/>
    <hyperlink ref="F50" r:id="rId46" display="Open"/>
    <hyperlink ref="F51" r:id="rId47" display="Open"/>
    <hyperlink ref="F52" r:id="rId48" display="Open"/>
    <hyperlink ref="F53" r:id="rId49" display="Open"/>
    <hyperlink ref="F54" r:id="rId50" display="Open"/>
    <hyperlink ref="F55" r:id="rId51" display="Open"/>
    <hyperlink ref="F56" r:id="rId52" display="Open"/>
    <hyperlink ref="F57" r:id="rId53" display="Open"/>
    <hyperlink ref="F58" r:id="rId54" display="Open"/>
    <hyperlink ref="F59" r:id="rId55" display="Open"/>
    <hyperlink ref="F60" r:id="rId56" display="Open"/>
    <hyperlink ref="F61" r:id="rId57" display="Open"/>
    <hyperlink ref="F62" r:id="rId58" display="Open"/>
    <hyperlink ref="F63" r:id="rId59" display="Open"/>
    <hyperlink ref="F64" r:id="rId60" display="Open"/>
    <hyperlink ref="F65" r:id="rId61" display="Open"/>
    <hyperlink ref="F66" r:id="rId62" display="Open"/>
    <hyperlink ref="F67" r:id="rId63" display="Open"/>
    <hyperlink ref="F68" r:id="rId64" display="Open"/>
    <hyperlink ref="F69" r:id="rId65" display="Open"/>
    <hyperlink ref="F70" r:id="rId66" display="Open"/>
    <hyperlink ref="F71" r:id="rId67" display="Open"/>
    <hyperlink ref="F72" r:id="rId68" display="Open"/>
    <hyperlink ref="F73" r:id="rId69" display="Open"/>
    <hyperlink ref="F74" r:id="rId70" display="Open"/>
    <hyperlink ref="F75" r:id="rId71" display="Open"/>
    <hyperlink ref="F76" r:id="rId72" display="Open"/>
    <hyperlink ref="F77" r:id="rId73" display="Open"/>
    <hyperlink ref="F78" r:id="rId74" display="Open"/>
    <hyperlink ref="F79" r:id="rId75" display="Open"/>
    <hyperlink ref="F80" r:id="rId76" display="Open"/>
    <hyperlink ref="F81" r:id="rId77" display="Open"/>
    <hyperlink ref="F82" r:id="rId78" display="Open"/>
    <hyperlink ref="F83" r:id="rId79" display="Open"/>
    <hyperlink ref="F84" r:id="rId80" display="Open"/>
    <hyperlink ref="F85" r:id="rId81" display="Open"/>
    <hyperlink ref="F86" r:id="rId82" display="Open"/>
    <hyperlink ref="F87" r:id="rId83" display="Open"/>
    <hyperlink ref="F88" r:id="rId84" display="Open"/>
    <hyperlink ref="F89" r:id="rId85" display="Open"/>
    <hyperlink ref="F90" r:id="rId86" display="Open"/>
    <hyperlink ref="F91" r:id="rId87" display="Open"/>
    <hyperlink ref="F92" r:id="rId88" display="Open"/>
    <hyperlink ref="F93" r:id="rId89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436</v>
      </c>
    </row>
    <row r="2" customFormat="false" ht="15" hidden="false" customHeight="false" outlineLevel="0" collapsed="false">
      <c r="A2" s="2" t="s">
        <v>437</v>
      </c>
    </row>
    <row r="4" customFormat="false" ht="15" hidden="false" customHeight="false" outlineLevel="0" collapsed="false">
      <c r="A4" s="22" t="s">
        <v>438</v>
      </c>
      <c r="B4" s="42" t="n">
        <v>46314</v>
      </c>
      <c r="C4" s="8" t="s">
        <v>439</v>
      </c>
    </row>
    <row r="6" customFormat="false" ht="15" hidden="false" customHeight="false" outlineLevel="0" collapsed="false">
      <c r="A6" s="22" t="s">
        <v>440</v>
      </c>
    </row>
    <row r="7" customFormat="false" ht="23.85" hidden="false" customHeight="false" outlineLevel="0" collapsed="false">
      <c r="A7" s="43" t="s">
        <v>441</v>
      </c>
      <c r="C7" s="8" t="s">
        <v>442</v>
      </c>
    </row>
    <row r="8" customFormat="false" ht="15" hidden="false" customHeight="false" outlineLevel="0" collapsed="false">
      <c r="A8" s="30" t="s">
        <v>443</v>
      </c>
      <c r="C8" s="8" t="s">
        <v>444</v>
      </c>
    </row>
    <row r="9" customFormat="false" ht="15" hidden="false" customHeight="false" outlineLevel="0" collapsed="false">
      <c r="A9" s="8" t="s">
        <v>445</v>
      </c>
      <c r="C9" s="8" t="s">
        <v>446</v>
      </c>
    </row>
    <row r="11" customFormat="false" ht="15" hidden="false" customHeight="false" outlineLevel="0" collapsed="false">
      <c r="A11" s="22" t="s">
        <v>447</v>
      </c>
    </row>
    <row r="12" customFormat="false" ht="15" hidden="false" customHeight="true" outlineLevel="0" collapsed="false">
      <c r="A12" s="8" t="s">
        <v>448</v>
      </c>
      <c r="B12" s="8" t="s">
        <v>449</v>
      </c>
      <c r="C12" s="8"/>
    </row>
    <row r="13" customFormat="false" ht="23.85" hidden="false" customHeight="true" outlineLevel="0" collapsed="false">
      <c r="A13" s="8" t="s">
        <v>450</v>
      </c>
      <c r="B13" s="8" t="s">
        <v>451</v>
      </c>
      <c r="C13" s="8"/>
    </row>
    <row r="14" customFormat="false" ht="23.85" hidden="false" customHeight="true" outlineLevel="0" collapsed="false">
      <c r="A14" s="8" t="s">
        <v>452</v>
      </c>
      <c r="B14" s="8" t="s">
        <v>453</v>
      </c>
      <c r="C14" s="8"/>
    </row>
    <row r="15" customFormat="false" ht="23.85" hidden="false" customHeight="true" outlineLevel="0" collapsed="false">
      <c r="A15" s="8" t="s">
        <v>454</v>
      </c>
      <c r="B15" s="8" t="s">
        <v>455</v>
      </c>
      <c r="C15" s="8"/>
    </row>
    <row r="17" customFormat="false" ht="22.35" hidden="false" customHeight="false" outlineLevel="0" collapsed="false">
      <c r="A17" s="22" t="s">
        <v>456</v>
      </c>
      <c r="C17" s="44" t="s">
        <v>457</v>
      </c>
    </row>
    <row r="18" customFormat="false" ht="15" hidden="false" customHeight="false" outlineLevel="0" collapsed="false">
      <c r="A18" s="45" t="s">
        <v>458</v>
      </c>
      <c r="B18" s="45" t="s">
        <v>459</v>
      </c>
    </row>
    <row r="19" customFormat="false" ht="15" hidden="false" customHeight="true" outlineLevel="0" collapsed="false">
      <c r="A19" s="42" t="n">
        <v>46328</v>
      </c>
      <c r="B19" s="43" t="s">
        <v>460</v>
      </c>
      <c r="C19" s="43"/>
    </row>
    <row r="20" customFormat="false" ht="15" hidden="false" customHeight="true" outlineLevel="0" collapsed="false">
      <c r="A20" s="42" t="n">
        <v>46356</v>
      </c>
      <c r="B20" s="43" t="s">
        <v>461</v>
      </c>
      <c r="C20" s="43"/>
    </row>
    <row r="21" customFormat="false" ht="15" hidden="false" customHeight="true" outlineLevel="0" collapsed="false">
      <c r="A21" s="42" t="n">
        <v>46364</v>
      </c>
      <c r="B21" s="43" t="s">
        <v>462</v>
      </c>
      <c r="C21" s="43"/>
    </row>
    <row r="22" customFormat="false" ht="15" hidden="false" customHeight="true" outlineLevel="0" collapsed="false">
      <c r="A22" s="42" t="n">
        <v>46380</v>
      </c>
      <c r="B22" s="43" t="s">
        <v>463</v>
      </c>
      <c r="C22" s="43"/>
    </row>
    <row r="23" customFormat="false" ht="15" hidden="false" customHeight="true" outlineLevel="0" collapsed="false">
      <c r="A23" s="42" t="n">
        <v>46381</v>
      </c>
      <c r="B23" s="43" t="s">
        <v>464</v>
      </c>
      <c r="C23" s="43"/>
    </row>
    <row r="24" customFormat="false" ht="15" hidden="false" customHeight="true" outlineLevel="0" collapsed="false">
      <c r="A24" s="42" t="n">
        <v>46386</v>
      </c>
      <c r="B24" s="43" t="s">
        <v>465</v>
      </c>
      <c r="C24" s="43"/>
    </row>
    <row r="25" customFormat="false" ht="15" hidden="false" customHeight="true" outlineLevel="0" collapsed="false">
      <c r="A25" s="42" t="n">
        <v>46387</v>
      </c>
      <c r="B25" s="43" t="s">
        <v>466</v>
      </c>
      <c r="C25" s="43"/>
    </row>
    <row r="26" customFormat="false" ht="15" hidden="false" customHeight="true" outlineLevel="0" collapsed="false">
      <c r="A26" s="42" t="n">
        <v>46388</v>
      </c>
      <c r="B26" s="43" t="s">
        <v>467</v>
      </c>
      <c r="C26" s="43"/>
    </row>
    <row r="27" customFormat="false" ht="15" hidden="false" customHeight="true" outlineLevel="0" collapsed="false">
      <c r="A27" s="42" t="n">
        <v>46443</v>
      </c>
      <c r="B27" s="43" t="s">
        <v>468</v>
      </c>
      <c r="C27" s="43"/>
    </row>
    <row r="28" customFormat="false" ht="15" hidden="false" customHeight="true" outlineLevel="0" collapsed="false">
      <c r="A28" s="42" t="n">
        <v>46471</v>
      </c>
      <c r="B28" s="43" t="s">
        <v>469</v>
      </c>
      <c r="C28" s="43"/>
    </row>
    <row r="29" customFormat="false" ht="15" hidden="false" customHeight="true" outlineLevel="0" collapsed="false">
      <c r="A29" s="42" t="n">
        <v>46472</v>
      </c>
      <c r="B29" s="43" t="s">
        <v>470</v>
      </c>
      <c r="C29" s="43"/>
    </row>
    <row r="30" customFormat="false" ht="15" hidden="false" customHeight="true" outlineLevel="0" collapsed="false">
      <c r="A30" s="42" t="n">
        <v>46486</v>
      </c>
      <c r="B30" s="43" t="s">
        <v>471</v>
      </c>
      <c r="C30" s="43"/>
    </row>
    <row r="31" customFormat="false" ht="15" hidden="false" customHeight="false" outlineLevel="0" collapsed="false">
      <c r="A31" s="42"/>
    </row>
    <row r="32" customFormat="false" ht="15" hidden="false" customHeight="false" outlineLevel="0" collapsed="false">
      <c r="A32" s="42"/>
    </row>
    <row r="33" customFormat="false" ht="15" hidden="false" customHeight="false" outlineLevel="0" collapsed="false">
      <c r="A33" s="42"/>
    </row>
    <row r="34" customFormat="false" ht="15" hidden="false" customHeight="false" outlineLevel="0" collapsed="false">
      <c r="A34" s="42"/>
    </row>
    <row r="35" customFormat="false" ht="15" hidden="false" customHeight="false" outlineLevel="0" collapsed="false">
      <c r="A35" s="42"/>
    </row>
    <row r="36" customFormat="false" ht="15" hidden="false" customHeight="false" outlineLevel="0" collapsed="false">
      <c r="A36" s="42"/>
    </row>
    <row r="37" customFormat="false" ht="15" hidden="false" customHeight="false" outlineLevel="0" collapsed="false">
      <c r="A37" s="42"/>
    </row>
    <row r="38" customFormat="false" ht="15" hidden="false" customHeight="false" outlineLevel="0" collapsed="false">
      <c r="A38" s="42"/>
    </row>
    <row r="39" customFormat="false" ht="15" hidden="false" customHeight="false" outlineLevel="0" collapsed="false">
      <c r="A39" s="42"/>
    </row>
    <row r="40" customFormat="false" ht="15" hidden="false" customHeight="false" outlineLevel="0" collapsed="false">
      <c r="A40" s="42"/>
    </row>
    <row r="41" customFormat="false" ht="15" hidden="false" customHeight="false" outlineLevel="0" collapsed="false">
      <c r="A41" s="42"/>
    </row>
    <row r="42" customFormat="false" ht="15" hidden="false" customHeight="false" outlineLevel="0" collapsed="false">
      <c r="A42" s="42"/>
    </row>
    <row r="43" customFormat="false" ht="15" hidden="false" customHeight="false" outlineLevel="0" collapsed="false">
      <c r="A43" s="42"/>
    </row>
    <row r="44" customFormat="false" ht="15" hidden="false" customHeight="false" outlineLevel="0" collapsed="false">
      <c r="A44" s="42"/>
    </row>
    <row r="45" customFormat="false" ht="15" hidden="false" customHeight="false" outlineLevel="0" collapsed="false">
      <c r="A45" s="42"/>
    </row>
    <row r="46" customFormat="false" ht="15" hidden="false" customHeight="false" outlineLevel="0" collapsed="false">
      <c r="A46" s="42"/>
    </row>
    <row r="47" customFormat="false" ht="15" hidden="false" customHeight="false" outlineLevel="0" collapsed="false">
      <c r="A47" s="42"/>
    </row>
    <row r="48" customFormat="false" ht="15" hidden="false" customHeight="false" outlineLevel="0" collapsed="false">
      <c r="A48" s="42"/>
    </row>
  </sheetData>
  <mergeCells count="16">
    <mergeCell ref="B12:C12"/>
    <mergeCell ref="B13:C13"/>
    <mergeCell ref="B14:C14"/>
    <mergeCell ref="B15:C15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2026-10-11T20:35:22Z</dcterms:created>
  <dc:creator>openpyxl</dc:creator>
  <dc:description/>
  <dc:language>en-US</dc:language>
  <cp:lastModifiedBy/>
  <dcterms:modified xsi:type="dcterms:W3CDTF">2026-10-11T20:35:22Z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