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ule Map" sheetId="1" state="visible" r:id="rId3"/>
    <sheet name="Summary" sheetId="2" state="visible" r:id="rId4"/>
    <sheet name="Sub-modules" sheetId="3" state="visible" r:id="rId5"/>
    <sheet name="Shared Components" sheetId="4" state="visible" r:id="rId6"/>
  </sheets>
  <definedNames>
    <definedName function="false" hidden="true" localSheetId="0" name="_xlnm._FilterDatabase" vbProcedure="false">'Module Map'!$A$4:$H$74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<sst xmlns="http://schemas.openxmlformats.org/spreadsheetml/2006/main" count="550" uniqueCount="236">
  <si>
    <t xml:space="preserve">Oralux (Dentist) — Module Map</t>
  </si>
  <si>
    <t xml:space="preserve">Source: Figma file 'Dentist' (dAKa9xPhXAuRKat5jGS8Hx), Page 1 · 66 desktop frames (1440px). Node 1:4970 holds 5 status variants.</t>
  </si>
  <si>
    <t xml:space="preserve">#</t>
  </si>
  <si>
    <t xml:space="preserve">Module</t>
  </si>
  <si>
    <t xml:space="preserve">Sub-module</t>
  </si>
  <si>
    <t xml:space="preserve">Screen / State</t>
  </si>
  <si>
    <t xml:space="preserve">Type</t>
  </si>
  <si>
    <t xml:space="preserve">Figma Node ID</t>
  </si>
  <si>
    <t xml:space="preserve">Figma Link</t>
  </si>
  <si>
    <t xml:space="preserve">Notes</t>
  </si>
  <si>
    <t xml:space="preserve">Dashboard</t>
  </si>
  <si>
    <t xml:space="preserve">Overview</t>
  </si>
  <si>
    <t xml:space="preserve">Dashboard — Dentist · Overview</t>
  </si>
  <si>
    <t xml:space="preserve">Page</t>
  </si>
  <si>
    <t xml:space="preserve">1:26962</t>
  </si>
  <si>
    <t xml:space="preserve">Open in Figma</t>
  </si>
  <si>
    <t xml:space="preserve">Greeting, 4 KPI cards, today's schedule, Up next, appointment requests (Accept/Decline), patients-per-month chart, recent patients</t>
  </si>
  <si>
    <t xml:space="preserve">Appointments</t>
  </si>
  <si>
    <t xml:space="preserve">Calendar views</t>
  </si>
  <si>
    <t xml:space="preserve">Day view</t>
  </si>
  <si>
    <t xml:space="preserve">1:1192</t>
  </si>
  <si>
    <t xml:space="preserve">Day view (alternate)</t>
  </si>
  <si>
    <t xml:space="preserve">1:1658</t>
  </si>
  <si>
    <t xml:space="preserve">Day view · Date filter</t>
  </si>
  <si>
    <t xml:space="preserve">State</t>
  </si>
  <si>
    <t xml:space="preserve">1:3840</t>
  </si>
  <si>
    <t xml:space="preserve">Date picker / filter open</t>
  </si>
  <si>
    <t xml:space="preserve">Week view</t>
  </si>
  <si>
    <t xml:space="preserve">1:2124</t>
  </si>
  <si>
    <t xml:space="preserve">Month view</t>
  </si>
  <si>
    <t xml:space="preserve">1:2911</t>
  </si>
  <si>
    <t xml:space="preserve">Appointment details</t>
  </si>
  <si>
    <t xml:space="preserve">Day · Details modal</t>
  </si>
  <si>
    <t xml:space="preserve">Modal</t>
  </si>
  <si>
    <t xml:space="preserve">1:4408</t>
  </si>
  <si>
    <t xml:space="preserve">Details card over day view</t>
  </si>
  <si>
    <t xml:space="preserve">Details modal · Pending</t>
  </si>
  <si>
    <t xml:space="preserve">1:4970</t>
  </si>
  <si>
    <t xml:space="preserve">Actions: Reschedule, Cancel, Confirm</t>
  </si>
  <si>
    <t xml:space="preserve">Details modal · Confirmed</t>
  </si>
  <si>
    <t xml:space="preserve">Actions: More, Completed, Bill Patient</t>
  </si>
  <si>
    <t xml:space="preserve">Details modal · Rescheduled</t>
  </si>
  <si>
    <t xml:space="preserve">Details modal · Cancelled</t>
  </si>
  <si>
    <t xml:space="preserve">Actions: Close, Rebook appointment</t>
  </si>
  <si>
    <t xml:space="preserve">Details modal · Completed</t>
  </si>
  <si>
    <t xml:space="preserve">Actions: View record, Book follow-up, Bill Patient</t>
  </si>
  <si>
    <t xml:space="preserve">Add appointment</t>
  </si>
  <si>
    <t xml:space="preserve">Select patient · Empty</t>
  </si>
  <si>
    <t xml:space="preserve">1:8117</t>
  </si>
  <si>
    <t xml:space="preserve">Step 1</t>
  </si>
  <si>
    <t xml:space="preserve">Select patient · Dropdown</t>
  </si>
  <si>
    <t xml:space="preserve">1:9150</t>
  </si>
  <si>
    <t xml:space="preserve">Select patient · Selected</t>
  </si>
  <si>
    <t xml:space="preserve">1:9689</t>
  </si>
  <si>
    <t xml:space="preserve">Add appointment form</t>
  </si>
  <si>
    <t xml:space="preserve">1:6024</t>
  </si>
  <si>
    <t xml:space="preserve">Step 2</t>
  </si>
  <si>
    <t xml:space="preserve">All procedures</t>
  </si>
  <si>
    <t xml:space="preserve">1:7516</t>
  </si>
  <si>
    <t xml:space="preserve">Step 2 – procedure picker</t>
  </si>
  <si>
    <t xml:space="preserve">Review &amp; confirm</t>
  </si>
  <si>
    <t xml:space="preserve">1:10207</t>
  </si>
  <si>
    <t xml:space="preserve">Step 3</t>
  </si>
  <si>
    <t xml:space="preserve">Booked</t>
  </si>
  <si>
    <t xml:space="preserve">1:8618</t>
  </si>
  <si>
    <t xml:space="preserve">Step 4 – success</t>
  </si>
  <si>
    <t xml:space="preserve">Appointment requests</t>
  </si>
  <si>
    <t xml:space="preserve">Requests drawer</t>
  </si>
  <si>
    <t xml:space="preserve">Drawer</t>
  </si>
  <si>
    <t xml:space="preserve">1:429</t>
  </si>
  <si>
    <t xml:space="preserve">Request details</t>
  </si>
  <si>
    <t xml:space="preserve">1:10773</t>
  </si>
  <si>
    <t xml:space="preserve">Patients</t>
  </si>
  <si>
    <t xml:space="preserve">Patient list</t>
  </si>
  <si>
    <t xml:space="preserve">Patients — List</t>
  </si>
  <si>
    <t xml:space="preserve">1:11627</t>
  </si>
  <si>
    <t xml:space="preserve">Details · General</t>
  </si>
  <si>
    <t xml:space="preserve">General</t>
  </si>
  <si>
    <t xml:space="preserve">1:12020</t>
  </si>
  <si>
    <t xml:space="preserve">Contact, emergency contact, other info, insurance, membership, notes, outstanding balance, recent activity</t>
  </si>
  <si>
    <t xml:space="preserve">General · Edit</t>
  </si>
  <si>
    <t xml:space="preserve">1:12291</t>
  </si>
  <si>
    <t xml:space="preserve">Details · Medical History</t>
  </si>
  <si>
    <t xml:space="preserve">Medical History</t>
  </si>
  <si>
    <t xml:space="preserve">1:12581</t>
  </si>
  <si>
    <t xml:space="preserve">Medical History · Edit</t>
  </si>
  <si>
    <t xml:space="preserve">1:12879</t>
  </si>
  <si>
    <t xml:space="preserve">Details · Dental Record Chart</t>
  </si>
  <si>
    <t xml:space="preserve">Chart · Many findings · Collapsed</t>
  </si>
  <si>
    <t xml:space="preserve">1:13779</t>
  </si>
  <si>
    <t xml:space="preserve">Chart · Many findings · Expanded</t>
  </si>
  <si>
    <t xml:space="preserve">1:13210</t>
  </si>
  <si>
    <t xml:space="preserve">Chart · Full screen</t>
  </si>
  <si>
    <t xml:space="preserve">1:14275</t>
  </si>
  <si>
    <t xml:space="preserve">No sidebar – full-screen view</t>
  </si>
  <si>
    <t xml:space="preserve">Details · Transaction Record</t>
  </si>
  <si>
    <t xml:space="preserve">Transaction Record</t>
  </si>
  <si>
    <t xml:space="preserve">1:14602</t>
  </si>
  <si>
    <t xml:space="preserve">Details · Statement of Account</t>
  </si>
  <si>
    <t xml:space="preserve">Statement of Account</t>
  </si>
  <si>
    <t xml:space="preserve">1:15053</t>
  </si>
  <si>
    <t xml:space="preserve">Details · Docs</t>
  </si>
  <si>
    <t xml:space="preserve">Docs list</t>
  </si>
  <si>
    <t xml:space="preserve">1:15418</t>
  </si>
  <si>
    <t xml:space="preserve">Docs · Row actions menu</t>
  </si>
  <si>
    <t xml:space="preserve">1:19681</t>
  </si>
  <si>
    <t xml:space="preserve">Add document · 1 Choose type</t>
  </si>
  <si>
    <t xml:space="preserve">1:15749</t>
  </si>
  <si>
    <t xml:space="preserve">Add document · 2 Prescription</t>
  </si>
  <si>
    <t xml:space="preserve">1:16156</t>
  </si>
  <si>
    <t xml:space="preserve">Add document · 3 Dental Certificate</t>
  </si>
  <si>
    <t xml:space="preserve">1:16589</t>
  </si>
  <si>
    <t xml:space="preserve">Add document · 4 Informed Consent</t>
  </si>
  <si>
    <t xml:space="preserve">1:17050</t>
  </si>
  <si>
    <t xml:space="preserve">Add document · 4b Privacy Notice and Consent</t>
  </si>
  <si>
    <t xml:space="preserve">1:18217</t>
  </si>
  <si>
    <t xml:space="preserve">Add document · 4c Privacy Notice and Consent · Signed</t>
  </si>
  <si>
    <t xml:space="preserve">1:18681</t>
  </si>
  <si>
    <t xml:space="preserve">Add document · 4d Privacy Notice · Tap to sign</t>
  </si>
  <si>
    <t xml:space="preserve">1:19168</t>
  </si>
  <si>
    <t xml:space="preserve">Nested signature overlay</t>
  </si>
  <si>
    <t xml:space="preserve">Add document · 5 Upload</t>
  </si>
  <si>
    <t xml:space="preserve">1:17409</t>
  </si>
  <si>
    <t xml:space="preserve">Add document · 6 Custom</t>
  </si>
  <si>
    <t xml:space="preserve">1:17781</t>
  </si>
  <si>
    <t xml:space="preserve">Details · Images</t>
  </si>
  <si>
    <t xml:space="preserve">Photos · Empty</t>
  </si>
  <si>
    <t xml:space="preserve">1:22723</t>
  </si>
  <si>
    <t xml:space="preserve">Photos</t>
  </si>
  <si>
    <t xml:space="preserve">1:20039</t>
  </si>
  <si>
    <t xml:space="preserve">Upload photos · Empty</t>
  </si>
  <si>
    <t xml:space="preserve">1:22424</t>
  </si>
  <si>
    <t xml:space="preserve">Upload photos</t>
  </si>
  <si>
    <t xml:space="preserve">1:21626</t>
  </si>
  <si>
    <t xml:space="preserve">Albums</t>
  </si>
  <si>
    <t xml:space="preserve">1:20337</t>
  </si>
  <si>
    <t xml:space="preserve">Album detail</t>
  </si>
  <si>
    <t xml:space="preserve">1:20648</t>
  </si>
  <si>
    <t xml:space="preserve">Album detail · Add photos</t>
  </si>
  <si>
    <t xml:space="preserve">1:20919</t>
  </si>
  <si>
    <t xml:space="preserve">Tab: From patient photos</t>
  </si>
  <si>
    <t xml:space="preserve">Album detail · Add photos · Upload new</t>
  </si>
  <si>
    <t xml:space="preserve">1:21284</t>
  </si>
  <si>
    <t xml:space="preserve">Tab: Upload new</t>
  </si>
  <si>
    <t xml:space="preserve">Photo viewer</t>
  </si>
  <si>
    <t xml:space="preserve">1:22013</t>
  </si>
  <si>
    <t xml:space="preserve">Photo viewer · Edit details</t>
  </si>
  <si>
    <t xml:space="preserve">1:22971</t>
  </si>
  <si>
    <t xml:space="preserve">Photo viewer · Delete confirmation</t>
  </si>
  <si>
    <t xml:space="preserve">Dialog</t>
  </si>
  <si>
    <t xml:space="preserve">1:23392</t>
  </si>
  <si>
    <t xml:space="preserve">Reports</t>
  </si>
  <si>
    <t xml:space="preserve">Patients Report</t>
  </si>
  <si>
    <t xml:space="preserve">Patient Details · Empty · Dentist dropdown</t>
  </si>
  <si>
    <t xml:space="preserve">1:23815</t>
  </si>
  <si>
    <t xml:space="preserve">Patient Details · Results</t>
  </si>
  <si>
    <t xml:space="preserve">1:23936</t>
  </si>
  <si>
    <t xml:space="preserve">Procedure · Results</t>
  </si>
  <si>
    <t xml:space="preserve">1:24231</t>
  </si>
  <si>
    <t xml:space="preserve">Tooth Condition · Results</t>
  </si>
  <si>
    <t xml:space="preserve">1:24500</t>
  </si>
  <si>
    <t xml:space="preserve">Patient Details · Filter columns</t>
  </si>
  <si>
    <t xml:space="preserve">1:24782</t>
  </si>
  <si>
    <t xml:space="preserve">Column filter popover</t>
  </si>
  <si>
    <t xml:space="preserve">Commission Report</t>
  </si>
  <si>
    <t xml:space="preserve">Commission Report · Results</t>
  </si>
  <si>
    <t xml:space="preserve">1:25123</t>
  </si>
  <si>
    <t xml:space="preserve">Columns: Txn no., Date, Patient, Status, Total, Paid, Commission, Pending, Available, Paid out</t>
  </si>
  <si>
    <t xml:space="preserve">Profile / Account</t>
  </si>
  <si>
    <t xml:space="preserve">Profile info</t>
  </si>
  <si>
    <t xml:space="preserve">Profile</t>
  </si>
  <si>
    <t xml:space="preserve">1:25497</t>
  </si>
  <si>
    <t xml:space="preserve">Update profile</t>
  </si>
  <si>
    <t xml:space="preserve">1:25617</t>
  </si>
  <si>
    <t xml:space="preserve">Update email address</t>
  </si>
  <si>
    <t xml:space="preserve">1:25774</t>
  </si>
  <si>
    <t xml:space="preserve">Verify email address</t>
  </si>
  <si>
    <t xml:space="preserve">1:26069</t>
  </si>
  <si>
    <t xml:space="preserve">Update mobile number</t>
  </si>
  <si>
    <t xml:space="preserve">1:25925</t>
  </si>
  <si>
    <t xml:space="preserve">Update password</t>
  </si>
  <si>
    <t xml:space="preserve">1:26218</t>
  </si>
  <si>
    <t xml:space="preserve">My signature</t>
  </si>
  <si>
    <t xml:space="preserve">My signature · Empty</t>
  </si>
  <si>
    <t xml:space="preserve">1:26391</t>
  </si>
  <si>
    <t xml:space="preserve">My signature · Saved</t>
  </si>
  <si>
    <t xml:space="preserve">1:26487</t>
  </si>
  <si>
    <t xml:space="preserve">Add signature · Draw</t>
  </si>
  <si>
    <t xml:space="preserve">1:26598</t>
  </si>
  <si>
    <t xml:space="preserve">Tabs: Draw / Type / Upload</t>
  </si>
  <si>
    <t xml:space="preserve">Add signature · Upload</t>
  </si>
  <si>
    <t xml:space="preserve">1:26719</t>
  </si>
  <si>
    <t xml:space="preserve">Remove signature confirmation</t>
  </si>
  <si>
    <t xml:space="preserve">1:26841</t>
  </si>
  <si>
    <t xml:space="preserve">Screen count by module</t>
  </si>
  <si>
    <t xml:space="preserve">Total</t>
  </si>
  <si>
    <t xml:space="preserve">Type legend: Page = full screen · State = variant of a screen (empty/edit/open) · Modal/Drawer/Dialog = overlay</t>
  </si>
  <si>
    <t xml:space="preserve">Screens / States</t>
  </si>
  <si>
    <t xml:space="preserve">Component</t>
  </si>
  <si>
    <t xml:space="preserve">Where used</t>
  </si>
  <si>
    <t xml:space="preserve">Sidebar · Dark</t>
  </si>
  <si>
    <t xml:space="preserve">All screens</t>
  </si>
  <si>
    <t xml:space="preserve">Org switcher, Menu (Dashboard, Appointments, Patients, Reports + sub items), user card, logout</t>
  </si>
  <si>
    <t xml:space="preserve">Top bar</t>
  </si>
  <si>
    <t xml:space="preserve">Breadcrumb, global search (⌘K), notifications bell with badge</t>
  </si>
  <si>
    <t xml:space="preserve">KPI card</t>
  </si>
  <si>
    <t xml:space="preserve">Report / KPI card instance</t>
  </si>
  <si>
    <t xml:space="preserve">Buttons / Toolbar button</t>
  </si>
  <si>
    <t xml:space="preserve">All modules</t>
  </si>
  <si>
    <t xml:space="preserve">Report / Button, Report / Toolbar button</t>
  </si>
  <si>
    <t xml:space="preserve">Tabs</t>
  </si>
  <si>
    <t xml:space="preserve">Patient details, Add photos, Add signature</t>
  </si>
  <si>
    <t xml:space="preserve">7 patient tabs; Draw/Type/Upload; From patient photos/Upload new</t>
  </si>
  <si>
    <t xml:space="preserve">Data table</t>
  </si>
  <si>
    <t xml:space="preserve">Patients list, Reports, Transactions</t>
  </si>
  <si>
    <t xml:space="preserve">Search, filters, column filter popover</t>
  </si>
  <si>
    <t xml:space="preserve">Status badge</t>
  </si>
  <si>
    <t xml:space="preserve">Appointments, Dashboard, Reports</t>
  </si>
  <si>
    <t xml:space="preserve">Pending, Confirmed, Rescheduled, Cancelled, Completed, Done</t>
  </si>
  <si>
    <t xml:space="preserve">Modal + Overlay/Scrim</t>
  </si>
  <si>
    <t xml:space="preserve">Dropdown menu</t>
  </si>
  <si>
    <t xml:space="preserve">Reports, Select patient</t>
  </si>
  <si>
    <t xml:space="preserve">Dropdown menu · Status, Patient dropdown</t>
  </si>
  <si>
    <t xml:space="preserve">Row actions menu</t>
  </si>
  <si>
    <t xml:space="preserve">Docs</t>
  </si>
  <si>
    <t xml:space="preserve">Menu · Row actions</t>
  </si>
  <si>
    <t xml:space="preserve">File / photo uploader</t>
  </si>
  <si>
    <t xml:space="preserve">Docs, Images, Signature</t>
  </si>
  <si>
    <t xml:space="preserve">Signature pad</t>
  </si>
  <si>
    <t xml:space="preserve">Docs (Privacy Notice), My signature</t>
  </si>
  <si>
    <t xml:space="preserve">Tap to sign / Draw</t>
  </si>
  <si>
    <t xml:space="preserve">Images</t>
  </si>
  <si>
    <t xml:space="preserve">View, edit details, delete</t>
  </si>
  <si>
    <t xml:space="preserve">Confirmation dialog</t>
  </si>
  <si>
    <t xml:space="preserve">Images, My signature</t>
  </si>
  <si>
    <t xml:space="preserve">Delete photo, Remove signature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</si>
</sst>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7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figma.com/design/dAKa9xPhXAuRKat5jGS8Hx/Dentist?node-id=1-26962" TargetMode="External"/><Relationship Id="rId2" Type="http://schemas.openxmlformats.org/officeDocument/2006/relationships/hyperlink" Target="https://www.figma.com/design/dAKa9xPhXAuRKat5jGS8Hx/Dentist?node-id=1-1192" TargetMode="External"/><Relationship Id="rId3" Type="http://schemas.openxmlformats.org/officeDocument/2006/relationships/hyperlink" Target="https://www.figma.com/design/dAKa9xPhXAuRKat5jGS8Hx/Dentist?node-id=1-1658" TargetMode="External"/><Relationship Id="rId4" Type="http://schemas.openxmlformats.org/officeDocument/2006/relationships/hyperlink" Target="https://www.figma.com/design/dAKa9xPhXAuRKat5jGS8Hx/Dentist?node-id=1-3840" TargetMode="External"/><Relationship Id="rId5" Type="http://schemas.openxmlformats.org/officeDocument/2006/relationships/hyperlink" Target="https://www.figma.com/design/dAKa9xPhXAuRKat5jGS8Hx/Dentist?node-id=1-2124" TargetMode="External"/><Relationship Id="rId6" Type="http://schemas.openxmlformats.org/officeDocument/2006/relationships/hyperlink" Target="https://www.figma.com/design/dAKa9xPhXAuRKat5jGS8Hx/Dentist?node-id=1-2911" TargetMode="External"/><Relationship Id="rId7" Type="http://schemas.openxmlformats.org/officeDocument/2006/relationships/hyperlink" Target="https://www.figma.com/design/dAKa9xPhXAuRKat5jGS8Hx/Dentist?node-id=1-4408" TargetMode="External"/><Relationship Id="rId8" Type="http://schemas.openxmlformats.org/officeDocument/2006/relationships/hyperlink" Target="https://www.figma.com/design/dAKa9xPhXAuRKat5jGS8Hx/Dentist?node-id=1-4970" TargetMode="External"/><Relationship Id="rId9" Type="http://schemas.openxmlformats.org/officeDocument/2006/relationships/hyperlink" Target="https://www.figma.com/design/dAKa9xPhXAuRKat5jGS8Hx/Dentist?node-id=1-4970" TargetMode="External"/><Relationship Id="rId10" Type="http://schemas.openxmlformats.org/officeDocument/2006/relationships/hyperlink" Target="https://www.figma.com/design/dAKa9xPhXAuRKat5jGS8Hx/Dentist?node-id=1-4970" TargetMode="External"/><Relationship Id="rId11" Type="http://schemas.openxmlformats.org/officeDocument/2006/relationships/hyperlink" Target="https://www.figma.com/design/dAKa9xPhXAuRKat5jGS8Hx/Dentist?node-id=1-4970" TargetMode="External"/><Relationship Id="rId12" Type="http://schemas.openxmlformats.org/officeDocument/2006/relationships/hyperlink" Target="https://www.figma.com/design/dAKa9xPhXAuRKat5jGS8Hx/Dentist?node-id=1-4970" TargetMode="External"/><Relationship Id="rId13" Type="http://schemas.openxmlformats.org/officeDocument/2006/relationships/hyperlink" Target="https://www.figma.com/design/dAKa9xPhXAuRKat5jGS8Hx/Dentist?node-id=1-8117" TargetMode="External"/><Relationship Id="rId14" Type="http://schemas.openxmlformats.org/officeDocument/2006/relationships/hyperlink" Target="https://www.figma.com/design/dAKa9xPhXAuRKat5jGS8Hx/Dentist?node-id=1-9150" TargetMode="External"/><Relationship Id="rId15" Type="http://schemas.openxmlformats.org/officeDocument/2006/relationships/hyperlink" Target="https://www.figma.com/design/dAKa9xPhXAuRKat5jGS8Hx/Dentist?node-id=1-9689" TargetMode="External"/><Relationship Id="rId16" Type="http://schemas.openxmlformats.org/officeDocument/2006/relationships/hyperlink" Target="https://www.figma.com/design/dAKa9xPhXAuRKat5jGS8Hx/Dentist?node-id=1-6024" TargetMode="External"/><Relationship Id="rId17" Type="http://schemas.openxmlformats.org/officeDocument/2006/relationships/hyperlink" Target="https://www.figma.com/design/dAKa9xPhXAuRKat5jGS8Hx/Dentist?node-id=1-7516" TargetMode="External"/><Relationship Id="rId18" Type="http://schemas.openxmlformats.org/officeDocument/2006/relationships/hyperlink" Target="https://www.figma.com/design/dAKa9xPhXAuRKat5jGS8Hx/Dentist?node-id=1-10207" TargetMode="External"/><Relationship Id="rId19" Type="http://schemas.openxmlformats.org/officeDocument/2006/relationships/hyperlink" Target="https://www.figma.com/design/dAKa9xPhXAuRKat5jGS8Hx/Dentist?node-id=1-8618" TargetMode="External"/><Relationship Id="rId20" Type="http://schemas.openxmlformats.org/officeDocument/2006/relationships/hyperlink" Target="https://www.figma.com/design/dAKa9xPhXAuRKat5jGS8Hx/Dentist?node-id=1-429" TargetMode="External"/><Relationship Id="rId21" Type="http://schemas.openxmlformats.org/officeDocument/2006/relationships/hyperlink" Target="https://www.figma.com/design/dAKa9xPhXAuRKat5jGS8Hx/Dentist?node-id=1-10773" TargetMode="External"/><Relationship Id="rId22" Type="http://schemas.openxmlformats.org/officeDocument/2006/relationships/hyperlink" Target="https://www.figma.com/design/dAKa9xPhXAuRKat5jGS8Hx/Dentist?node-id=1-11627" TargetMode="External"/><Relationship Id="rId23" Type="http://schemas.openxmlformats.org/officeDocument/2006/relationships/hyperlink" Target="https://www.figma.com/design/dAKa9xPhXAuRKat5jGS8Hx/Dentist?node-id=1-12020" TargetMode="External"/><Relationship Id="rId24" Type="http://schemas.openxmlformats.org/officeDocument/2006/relationships/hyperlink" Target="https://www.figma.com/design/dAKa9xPhXAuRKat5jGS8Hx/Dentist?node-id=1-12291" TargetMode="External"/><Relationship Id="rId25" Type="http://schemas.openxmlformats.org/officeDocument/2006/relationships/hyperlink" Target="https://www.figma.com/design/dAKa9xPhXAuRKat5jGS8Hx/Dentist?node-id=1-12581" TargetMode="External"/><Relationship Id="rId26" Type="http://schemas.openxmlformats.org/officeDocument/2006/relationships/hyperlink" Target="https://www.figma.com/design/dAKa9xPhXAuRKat5jGS8Hx/Dentist?node-id=1-12879" TargetMode="External"/><Relationship Id="rId27" Type="http://schemas.openxmlformats.org/officeDocument/2006/relationships/hyperlink" Target="https://www.figma.com/design/dAKa9xPhXAuRKat5jGS8Hx/Dentist?node-id=1-13779" TargetMode="External"/><Relationship Id="rId28" Type="http://schemas.openxmlformats.org/officeDocument/2006/relationships/hyperlink" Target="https://www.figma.com/design/dAKa9xPhXAuRKat5jGS8Hx/Dentist?node-id=1-13210" TargetMode="External"/><Relationship Id="rId29" Type="http://schemas.openxmlformats.org/officeDocument/2006/relationships/hyperlink" Target="https://www.figma.com/design/dAKa9xPhXAuRKat5jGS8Hx/Dentist?node-id=1-14275" TargetMode="External"/><Relationship Id="rId30" Type="http://schemas.openxmlformats.org/officeDocument/2006/relationships/hyperlink" Target="https://www.figma.com/design/dAKa9xPhXAuRKat5jGS8Hx/Dentist?node-id=1-14602" TargetMode="External"/><Relationship Id="rId31" Type="http://schemas.openxmlformats.org/officeDocument/2006/relationships/hyperlink" Target="https://www.figma.com/design/dAKa9xPhXAuRKat5jGS8Hx/Dentist?node-id=1-15053" TargetMode="External"/><Relationship Id="rId32" Type="http://schemas.openxmlformats.org/officeDocument/2006/relationships/hyperlink" Target="https://www.figma.com/design/dAKa9xPhXAuRKat5jGS8Hx/Dentist?node-id=1-15418" TargetMode="External"/><Relationship Id="rId33" Type="http://schemas.openxmlformats.org/officeDocument/2006/relationships/hyperlink" Target="https://www.figma.com/design/dAKa9xPhXAuRKat5jGS8Hx/Dentist?node-id=1-19681" TargetMode="External"/><Relationship Id="rId34" Type="http://schemas.openxmlformats.org/officeDocument/2006/relationships/hyperlink" Target="https://www.figma.com/design/dAKa9xPhXAuRKat5jGS8Hx/Dentist?node-id=1-15749" TargetMode="External"/><Relationship Id="rId35" Type="http://schemas.openxmlformats.org/officeDocument/2006/relationships/hyperlink" Target="https://www.figma.com/design/dAKa9xPhXAuRKat5jGS8Hx/Dentist?node-id=1-16156" TargetMode="External"/><Relationship Id="rId36" Type="http://schemas.openxmlformats.org/officeDocument/2006/relationships/hyperlink" Target="https://www.figma.com/design/dAKa9xPhXAuRKat5jGS8Hx/Dentist?node-id=1-16589" TargetMode="External"/><Relationship Id="rId37" Type="http://schemas.openxmlformats.org/officeDocument/2006/relationships/hyperlink" Target="https://www.figma.com/design/dAKa9xPhXAuRKat5jGS8Hx/Dentist?node-id=1-17050" TargetMode="External"/><Relationship Id="rId38" Type="http://schemas.openxmlformats.org/officeDocument/2006/relationships/hyperlink" Target="https://www.figma.com/design/dAKa9xPhXAuRKat5jGS8Hx/Dentist?node-id=1-18217" TargetMode="External"/><Relationship Id="rId39" Type="http://schemas.openxmlformats.org/officeDocument/2006/relationships/hyperlink" Target="https://www.figma.com/design/dAKa9xPhXAuRKat5jGS8Hx/Dentist?node-id=1-18681" TargetMode="External"/><Relationship Id="rId40" Type="http://schemas.openxmlformats.org/officeDocument/2006/relationships/hyperlink" Target="https://www.figma.com/design/dAKa9xPhXAuRKat5jGS8Hx/Dentist?node-id=1-19168" TargetMode="External"/><Relationship Id="rId41" Type="http://schemas.openxmlformats.org/officeDocument/2006/relationships/hyperlink" Target="https://www.figma.com/design/dAKa9xPhXAuRKat5jGS8Hx/Dentist?node-id=1-17409" TargetMode="External"/><Relationship Id="rId42" Type="http://schemas.openxmlformats.org/officeDocument/2006/relationships/hyperlink" Target="https://www.figma.com/design/dAKa9xPhXAuRKat5jGS8Hx/Dentist?node-id=1-17781" TargetMode="External"/><Relationship Id="rId43" Type="http://schemas.openxmlformats.org/officeDocument/2006/relationships/hyperlink" Target="https://www.figma.com/design/dAKa9xPhXAuRKat5jGS8Hx/Dentist?node-id=1-22723" TargetMode="External"/><Relationship Id="rId44" Type="http://schemas.openxmlformats.org/officeDocument/2006/relationships/hyperlink" Target="https://www.figma.com/design/dAKa9xPhXAuRKat5jGS8Hx/Dentist?node-id=1-20039" TargetMode="External"/><Relationship Id="rId45" Type="http://schemas.openxmlformats.org/officeDocument/2006/relationships/hyperlink" Target="https://www.figma.com/design/dAKa9xPhXAuRKat5jGS8Hx/Dentist?node-id=1-22424" TargetMode="External"/><Relationship Id="rId46" Type="http://schemas.openxmlformats.org/officeDocument/2006/relationships/hyperlink" Target="https://www.figma.com/design/dAKa9xPhXAuRKat5jGS8Hx/Dentist?node-id=1-21626" TargetMode="External"/><Relationship Id="rId47" Type="http://schemas.openxmlformats.org/officeDocument/2006/relationships/hyperlink" Target="https://www.figma.com/design/dAKa9xPhXAuRKat5jGS8Hx/Dentist?node-id=1-20337" TargetMode="External"/><Relationship Id="rId48" Type="http://schemas.openxmlformats.org/officeDocument/2006/relationships/hyperlink" Target="https://www.figma.com/design/dAKa9xPhXAuRKat5jGS8Hx/Dentist?node-id=1-20648" TargetMode="External"/><Relationship Id="rId49" Type="http://schemas.openxmlformats.org/officeDocument/2006/relationships/hyperlink" Target="https://www.figma.com/design/dAKa9xPhXAuRKat5jGS8Hx/Dentist?node-id=1-20919" TargetMode="External"/><Relationship Id="rId50" Type="http://schemas.openxmlformats.org/officeDocument/2006/relationships/hyperlink" Target="https://www.figma.com/design/dAKa9xPhXAuRKat5jGS8Hx/Dentist?node-id=1-21284" TargetMode="External"/><Relationship Id="rId51" Type="http://schemas.openxmlformats.org/officeDocument/2006/relationships/hyperlink" Target="https://www.figma.com/design/dAKa9xPhXAuRKat5jGS8Hx/Dentist?node-id=1-22013" TargetMode="External"/><Relationship Id="rId52" Type="http://schemas.openxmlformats.org/officeDocument/2006/relationships/hyperlink" Target="https://www.figma.com/design/dAKa9xPhXAuRKat5jGS8Hx/Dentist?node-id=1-22971" TargetMode="External"/><Relationship Id="rId53" Type="http://schemas.openxmlformats.org/officeDocument/2006/relationships/hyperlink" Target="https://www.figma.com/design/dAKa9xPhXAuRKat5jGS8Hx/Dentist?node-id=1-23392" TargetMode="External"/><Relationship Id="rId54" Type="http://schemas.openxmlformats.org/officeDocument/2006/relationships/hyperlink" Target="https://www.figma.com/design/dAKa9xPhXAuRKat5jGS8Hx/Dentist?node-id=1-23815" TargetMode="External"/><Relationship Id="rId55" Type="http://schemas.openxmlformats.org/officeDocument/2006/relationships/hyperlink" Target="https://www.figma.com/design/dAKa9xPhXAuRKat5jGS8Hx/Dentist?node-id=1-23936" TargetMode="External"/><Relationship Id="rId56" Type="http://schemas.openxmlformats.org/officeDocument/2006/relationships/hyperlink" Target="https://www.figma.com/design/dAKa9xPhXAuRKat5jGS8Hx/Dentist?node-id=1-24231" TargetMode="External"/><Relationship Id="rId57" Type="http://schemas.openxmlformats.org/officeDocument/2006/relationships/hyperlink" Target="https://www.figma.com/design/dAKa9xPhXAuRKat5jGS8Hx/Dentist?node-id=1-24500" TargetMode="External"/><Relationship Id="rId58" Type="http://schemas.openxmlformats.org/officeDocument/2006/relationships/hyperlink" Target="https://www.figma.com/design/dAKa9xPhXAuRKat5jGS8Hx/Dentist?node-id=1-24782" TargetMode="External"/><Relationship Id="rId59" Type="http://schemas.openxmlformats.org/officeDocument/2006/relationships/hyperlink" Target="https://www.figma.com/design/dAKa9xPhXAuRKat5jGS8Hx/Dentist?node-id=1-25123" TargetMode="External"/><Relationship Id="rId60" Type="http://schemas.openxmlformats.org/officeDocument/2006/relationships/hyperlink" Target="https://www.figma.com/design/dAKa9xPhXAuRKat5jGS8Hx/Dentist?node-id=1-25497" TargetMode="External"/><Relationship Id="rId61" Type="http://schemas.openxmlformats.org/officeDocument/2006/relationships/hyperlink" Target="https://www.figma.com/design/dAKa9xPhXAuRKat5jGS8Hx/Dentist?node-id=1-25617" TargetMode="External"/><Relationship Id="rId62" Type="http://schemas.openxmlformats.org/officeDocument/2006/relationships/hyperlink" Target="https://www.figma.com/design/dAKa9xPhXAuRKat5jGS8Hx/Dentist?node-id=1-25774" TargetMode="External"/><Relationship Id="rId63" Type="http://schemas.openxmlformats.org/officeDocument/2006/relationships/hyperlink" Target="https://www.figma.com/design/dAKa9xPhXAuRKat5jGS8Hx/Dentist?node-id=1-26069" TargetMode="External"/><Relationship Id="rId64" Type="http://schemas.openxmlformats.org/officeDocument/2006/relationships/hyperlink" Target="https://www.figma.com/design/dAKa9xPhXAuRKat5jGS8Hx/Dentist?node-id=1-25925" TargetMode="External"/><Relationship Id="rId65" Type="http://schemas.openxmlformats.org/officeDocument/2006/relationships/hyperlink" Target="https://www.figma.com/design/dAKa9xPhXAuRKat5jGS8Hx/Dentist?node-id=1-26218" TargetMode="External"/><Relationship Id="rId66" Type="http://schemas.openxmlformats.org/officeDocument/2006/relationships/hyperlink" Target="https://www.figma.com/design/dAKa9xPhXAuRKat5jGS8Hx/Dentist?node-id=1-26391" TargetMode="External"/><Relationship Id="rId67" Type="http://schemas.openxmlformats.org/officeDocument/2006/relationships/hyperlink" Target="https://www.figma.com/design/dAKa9xPhXAuRKat5jGS8Hx/Dentist?node-id=1-26487" TargetMode="External"/><Relationship Id="rId68" Type="http://schemas.openxmlformats.org/officeDocument/2006/relationships/hyperlink" Target="https://www.figma.com/design/dAKa9xPhXAuRKat5jGS8Hx/Dentist?node-id=1-26598" TargetMode="External"/><Relationship Id="rId69" Type="http://schemas.openxmlformats.org/officeDocument/2006/relationships/hyperlink" Target="https://www.figma.com/design/dAKa9xPhXAuRKat5jGS8Hx/Dentist?node-id=1-26719" TargetMode="External"/><Relationship Id="rId70" Type="http://schemas.openxmlformats.org/officeDocument/2006/relationships/hyperlink" Target="https://www.figma.com/design/dAKa9xPhXAuRKat5jGS8Hx/Dentist?node-id=1-26841" TargetMode="External"/><Relationship Id="rId7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28"/>
    <col collapsed="false" customWidth="true" hidden="false" outlineLevel="0" max="4" min="4" style="0" width="46"/>
    <col collapsed="false" customWidth="true" hidden="false" outlineLevel="0" max="5" min="5" style="0" width="9"/>
    <col collapsed="false" customWidth="true" hidden="false" outlineLevel="0" max="6" min="6" style="0" width="13"/>
    <col collapsed="false" customWidth="true" hidden="false" outlineLevel="0" max="7" min="7" style="0" width="15"/>
    <col collapsed="false" customWidth="true" hidden="false" outlineLevel="0" max="8" min="8" style="0" width="6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23.85" hidden="false" customHeight="false" outlineLevel="0" collapsed="false">
      <c r="A5" s="4" t="n">
        <v>1</v>
      </c>
      <c r="B5" s="4" t="s">
        <v>10</v>
      </c>
      <c r="C5" s="4" t="s">
        <v>11</v>
      </c>
      <c r="D5" s="4" t="s">
        <v>12</v>
      </c>
      <c r="E5" s="4" t="s">
        <v>13</v>
      </c>
      <c r="F5" s="4" t="s">
        <v>14</v>
      </c>
      <c r="G5" s="5" t="s">
        <v>15</v>
      </c>
      <c r="H5" s="6" t="s">
        <v>16</v>
      </c>
    </row>
    <row r="6" customFormat="false" ht="15" hidden="false" customHeight="false" outlineLevel="0" collapsed="false">
      <c r="A6" s="4" t="n">
        <v>2</v>
      </c>
      <c r="B6" s="4" t="s">
        <v>17</v>
      </c>
      <c r="C6" s="4" t="s">
        <v>18</v>
      </c>
      <c r="D6" s="4" t="s">
        <v>19</v>
      </c>
      <c r="E6" s="4" t="s">
        <v>13</v>
      </c>
      <c r="F6" s="4" t="s">
        <v>20</v>
      </c>
      <c r="G6" s="5" t="s">
        <v>15</v>
      </c>
      <c r="H6" s="6"/>
    </row>
    <row r="7" customFormat="false" ht="15" hidden="false" customHeight="false" outlineLevel="0" collapsed="false">
      <c r="A7" s="4" t="n">
        <v>3</v>
      </c>
      <c r="B7" s="4" t="s">
        <v>17</v>
      </c>
      <c r="C7" s="4" t="s">
        <v>18</v>
      </c>
      <c r="D7" s="4" t="s">
        <v>21</v>
      </c>
      <c r="E7" s="4" t="s">
        <v>13</v>
      </c>
      <c r="F7" s="4" t="s">
        <v>22</v>
      </c>
      <c r="G7" s="5" t="s">
        <v>15</v>
      </c>
      <c r="H7" s="6"/>
    </row>
    <row r="8" customFormat="false" ht="15" hidden="false" customHeight="false" outlineLevel="0" collapsed="false">
      <c r="A8" s="4" t="n">
        <v>4</v>
      </c>
      <c r="B8" s="4" t="s">
        <v>17</v>
      </c>
      <c r="C8" s="4" t="s">
        <v>18</v>
      </c>
      <c r="D8" s="4" t="s">
        <v>23</v>
      </c>
      <c r="E8" s="4" t="s">
        <v>24</v>
      </c>
      <c r="F8" s="4" t="s">
        <v>25</v>
      </c>
      <c r="G8" s="5" t="s">
        <v>15</v>
      </c>
      <c r="H8" s="6" t="s">
        <v>26</v>
      </c>
    </row>
    <row r="9" customFormat="false" ht="15" hidden="false" customHeight="false" outlineLevel="0" collapsed="false">
      <c r="A9" s="4" t="n">
        <v>5</v>
      </c>
      <c r="B9" s="4" t="s">
        <v>17</v>
      </c>
      <c r="C9" s="4" t="s">
        <v>18</v>
      </c>
      <c r="D9" s="4" t="s">
        <v>27</v>
      </c>
      <c r="E9" s="4" t="s">
        <v>13</v>
      </c>
      <c r="F9" s="4" t="s">
        <v>28</v>
      </c>
      <c r="G9" s="5" t="s">
        <v>15</v>
      </c>
      <c r="H9" s="6"/>
    </row>
    <row r="10" customFormat="false" ht="15" hidden="false" customHeight="false" outlineLevel="0" collapsed="false">
      <c r="A10" s="4" t="n">
        <v>6</v>
      </c>
      <c r="B10" s="4" t="s">
        <v>17</v>
      </c>
      <c r="C10" s="4" t="s">
        <v>18</v>
      </c>
      <c r="D10" s="4" t="s">
        <v>29</v>
      </c>
      <c r="E10" s="4" t="s">
        <v>13</v>
      </c>
      <c r="F10" s="4" t="s">
        <v>30</v>
      </c>
      <c r="G10" s="5" t="s">
        <v>15</v>
      </c>
      <c r="H10" s="6"/>
    </row>
    <row r="11" customFormat="false" ht="15" hidden="false" customHeight="false" outlineLevel="0" collapsed="false">
      <c r="A11" s="4" t="n">
        <v>7</v>
      </c>
      <c r="B11" s="4" t="s">
        <v>17</v>
      </c>
      <c r="C11" s="4" t="s">
        <v>31</v>
      </c>
      <c r="D11" s="4" t="s">
        <v>32</v>
      </c>
      <c r="E11" s="4" t="s">
        <v>33</v>
      </c>
      <c r="F11" s="4" t="s">
        <v>34</v>
      </c>
      <c r="G11" s="5" t="s">
        <v>15</v>
      </c>
      <c r="H11" s="6" t="s">
        <v>35</v>
      </c>
    </row>
    <row r="12" customFormat="false" ht="15" hidden="false" customHeight="false" outlineLevel="0" collapsed="false">
      <c r="A12" s="4" t="n">
        <v>8</v>
      </c>
      <c r="B12" s="4" t="s">
        <v>17</v>
      </c>
      <c r="C12" s="4" t="s">
        <v>31</v>
      </c>
      <c r="D12" s="4" t="s">
        <v>36</v>
      </c>
      <c r="E12" s="4" t="s">
        <v>24</v>
      </c>
      <c r="F12" s="4" t="s">
        <v>37</v>
      </c>
      <c r="G12" s="5" t="s">
        <v>15</v>
      </c>
      <c r="H12" s="6" t="s">
        <v>38</v>
      </c>
    </row>
    <row r="13" customFormat="false" ht="15" hidden="false" customHeight="false" outlineLevel="0" collapsed="false">
      <c r="A13" s="4" t="n">
        <v>9</v>
      </c>
      <c r="B13" s="4" t="s">
        <v>17</v>
      </c>
      <c r="C13" s="4" t="s">
        <v>31</v>
      </c>
      <c r="D13" s="4" t="s">
        <v>39</v>
      </c>
      <c r="E13" s="4" t="s">
        <v>24</v>
      </c>
      <c r="F13" s="4" t="s">
        <v>37</v>
      </c>
      <c r="G13" s="5" t="s">
        <v>15</v>
      </c>
      <c r="H13" s="6" t="s">
        <v>40</v>
      </c>
    </row>
    <row r="14" customFormat="false" ht="15" hidden="false" customHeight="false" outlineLevel="0" collapsed="false">
      <c r="A14" s="4" t="n">
        <v>10</v>
      </c>
      <c r="B14" s="4" t="s">
        <v>17</v>
      </c>
      <c r="C14" s="4" t="s">
        <v>31</v>
      </c>
      <c r="D14" s="4" t="s">
        <v>41</v>
      </c>
      <c r="E14" s="4" t="s">
        <v>24</v>
      </c>
      <c r="F14" s="4" t="s">
        <v>37</v>
      </c>
      <c r="G14" s="5" t="s">
        <v>15</v>
      </c>
      <c r="H14" s="6" t="s">
        <v>38</v>
      </c>
    </row>
    <row r="15" customFormat="false" ht="15" hidden="false" customHeight="false" outlineLevel="0" collapsed="false">
      <c r="A15" s="4" t="n">
        <v>11</v>
      </c>
      <c r="B15" s="4" t="s">
        <v>17</v>
      </c>
      <c r="C15" s="4" t="s">
        <v>31</v>
      </c>
      <c r="D15" s="4" t="s">
        <v>42</v>
      </c>
      <c r="E15" s="4" t="s">
        <v>24</v>
      </c>
      <c r="F15" s="4" t="s">
        <v>37</v>
      </c>
      <c r="G15" s="5" t="s">
        <v>15</v>
      </c>
      <c r="H15" s="6" t="s">
        <v>43</v>
      </c>
    </row>
    <row r="16" customFormat="false" ht="15" hidden="false" customHeight="false" outlineLevel="0" collapsed="false">
      <c r="A16" s="4" t="n">
        <v>12</v>
      </c>
      <c r="B16" s="4" t="s">
        <v>17</v>
      </c>
      <c r="C16" s="4" t="s">
        <v>31</v>
      </c>
      <c r="D16" s="4" t="s">
        <v>44</v>
      </c>
      <c r="E16" s="4" t="s">
        <v>24</v>
      </c>
      <c r="F16" s="4" t="s">
        <v>37</v>
      </c>
      <c r="G16" s="5" t="s">
        <v>15</v>
      </c>
      <c r="H16" s="6" t="s">
        <v>45</v>
      </c>
    </row>
    <row r="17" customFormat="false" ht="15" hidden="false" customHeight="false" outlineLevel="0" collapsed="false">
      <c r="A17" s="4" t="n">
        <v>13</v>
      </c>
      <c r="B17" s="4" t="s">
        <v>17</v>
      </c>
      <c r="C17" s="4" t="s">
        <v>46</v>
      </c>
      <c r="D17" s="4" t="s">
        <v>47</v>
      </c>
      <c r="E17" s="4" t="s">
        <v>33</v>
      </c>
      <c r="F17" s="4" t="s">
        <v>48</v>
      </c>
      <c r="G17" s="5" t="s">
        <v>15</v>
      </c>
      <c r="H17" s="6" t="s">
        <v>49</v>
      </c>
    </row>
    <row r="18" customFormat="false" ht="15" hidden="false" customHeight="false" outlineLevel="0" collapsed="false">
      <c r="A18" s="4" t="n">
        <v>14</v>
      </c>
      <c r="B18" s="4" t="s">
        <v>17</v>
      </c>
      <c r="C18" s="4" t="s">
        <v>46</v>
      </c>
      <c r="D18" s="4" t="s">
        <v>50</v>
      </c>
      <c r="E18" s="4" t="s">
        <v>24</v>
      </c>
      <c r="F18" s="4" t="s">
        <v>51</v>
      </c>
      <c r="G18" s="5" t="s">
        <v>15</v>
      </c>
      <c r="H18" s="6" t="s">
        <v>49</v>
      </c>
    </row>
    <row r="19" customFormat="false" ht="15" hidden="false" customHeight="false" outlineLevel="0" collapsed="false">
      <c r="A19" s="4" t="n">
        <v>15</v>
      </c>
      <c r="B19" s="4" t="s">
        <v>17</v>
      </c>
      <c r="C19" s="4" t="s">
        <v>46</v>
      </c>
      <c r="D19" s="4" t="s">
        <v>52</v>
      </c>
      <c r="E19" s="4" t="s">
        <v>24</v>
      </c>
      <c r="F19" s="4" t="s">
        <v>53</v>
      </c>
      <c r="G19" s="5" t="s">
        <v>15</v>
      </c>
      <c r="H19" s="6" t="s">
        <v>49</v>
      </c>
    </row>
    <row r="20" customFormat="false" ht="15" hidden="false" customHeight="false" outlineLevel="0" collapsed="false">
      <c r="A20" s="4" t="n">
        <v>16</v>
      </c>
      <c r="B20" s="4" t="s">
        <v>17</v>
      </c>
      <c r="C20" s="4" t="s">
        <v>46</v>
      </c>
      <c r="D20" s="4" t="s">
        <v>54</v>
      </c>
      <c r="E20" s="4" t="s">
        <v>13</v>
      </c>
      <c r="F20" s="4" t="s">
        <v>55</v>
      </c>
      <c r="G20" s="5" t="s">
        <v>15</v>
      </c>
      <c r="H20" s="6" t="s">
        <v>56</v>
      </c>
    </row>
    <row r="21" customFormat="false" ht="15" hidden="false" customHeight="false" outlineLevel="0" collapsed="false">
      <c r="A21" s="4" t="n">
        <v>17</v>
      </c>
      <c r="B21" s="4" t="s">
        <v>17</v>
      </c>
      <c r="C21" s="4" t="s">
        <v>46</v>
      </c>
      <c r="D21" s="4" t="s">
        <v>57</v>
      </c>
      <c r="E21" s="4" t="s">
        <v>33</v>
      </c>
      <c r="F21" s="4" t="s">
        <v>58</v>
      </c>
      <c r="G21" s="5" t="s">
        <v>15</v>
      </c>
      <c r="H21" s="6" t="s">
        <v>59</v>
      </c>
    </row>
    <row r="22" customFormat="false" ht="15" hidden="false" customHeight="false" outlineLevel="0" collapsed="false">
      <c r="A22" s="4" t="n">
        <v>18</v>
      </c>
      <c r="B22" s="4" t="s">
        <v>17</v>
      </c>
      <c r="C22" s="4" t="s">
        <v>46</v>
      </c>
      <c r="D22" s="4" t="s">
        <v>60</v>
      </c>
      <c r="E22" s="4" t="s">
        <v>33</v>
      </c>
      <c r="F22" s="4" t="s">
        <v>61</v>
      </c>
      <c r="G22" s="5" t="s">
        <v>15</v>
      </c>
      <c r="H22" s="6" t="s">
        <v>62</v>
      </c>
    </row>
    <row r="23" customFormat="false" ht="15" hidden="false" customHeight="false" outlineLevel="0" collapsed="false">
      <c r="A23" s="4" t="n">
        <v>19</v>
      </c>
      <c r="B23" s="4" t="s">
        <v>17</v>
      </c>
      <c r="C23" s="4" t="s">
        <v>46</v>
      </c>
      <c r="D23" s="4" t="s">
        <v>63</v>
      </c>
      <c r="E23" s="4" t="s">
        <v>33</v>
      </c>
      <c r="F23" s="4" t="s">
        <v>64</v>
      </c>
      <c r="G23" s="5" t="s">
        <v>15</v>
      </c>
      <c r="H23" s="6" t="s">
        <v>65</v>
      </c>
    </row>
    <row r="24" customFormat="false" ht="15" hidden="false" customHeight="false" outlineLevel="0" collapsed="false">
      <c r="A24" s="4" t="n">
        <v>20</v>
      </c>
      <c r="B24" s="4" t="s">
        <v>17</v>
      </c>
      <c r="C24" s="4" t="s">
        <v>66</v>
      </c>
      <c r="D24" s="4" t="s">
        <v>67</v>
      </c>
      <c r="E24" s="4" t="s">
        <v>68</v>
      </c>
      <c r="F24" s="4" t="s">
        <v>69</v>
      </c>
      <c r="G24" s="5" t="s">
        <v>15</v>
      </c>
      <c r="H24" s="6"/>
    </row>
    <row r="25" customFormat="false" ht="15" hidden="false" customHeight="false" outlineLevel="0" collapsed="false">
      <c r="A25" s="4" t="n">
        <v>21</v>
      </c>
      <c r="B25" s="4" t="s">
        <v>17</v>
      </c>
      <c r="C25" s="4" t="s">
        <v>66</v>
      </c>
      <c r="D25" s="4" t="s">
        <v>70</v>
      </c>
      <c r="E25" s="4" t="s">
        <v>33</v>
      </c>
      <c r="F25" s="4" t="s">
        <v>71</v>
      </c>
      <c r="G25" s="5" t="s">
        <v>15</v>
      </c>
      <c r="H25" s="6"/>
    </row>
    <row r="26" customFormat="false" ht="15" hidden="false" customHeight="false" outlineLevel="0" collapsed="false">
      <c r="A26" s="4" t="n">
        <v>22</v>
      </c>
      <c r="B26" s="4" t="s">
        <v>72</v>
      </c>
      <c r="C26" s="4" t="s">
        <v>73</v>
      </c>
      <c r="D26" s="4" t="s">
        <v>74</v>
      </c>
      <c r="E26" s="4" t="s">
        <v>13</v>
      </c>
      <c r="F26" s="4" t="s">
        <v>75</v>
      </c>
      <c r="G26" s="5" t="s">
        <v>15</v>
      </c>
      <c r="H26" s="6"/>
    </row>
    <row r="27" customFormat="false" ht="23.85" hidden="false" customHeight="false" outlineLevel="0" collapsed="false">
      <c r="A27" s="4" t="n">
        <v>23</v>
      </c>
      <c r="B27" s="4" t="s">
        <v>72</v>
      </c>
      <c r="C27" s="4" t="s">
        <v>76</v>
      </c>
      <c r="D27" s="4" t="s">
        <v>77</v>
      </c>
      <c r="E27" s="4" t="s">
        <v>13</v>
      </c>
      <c r="F27" s="4" t="s">
        <v>78</v>
      </c>
      <c r="G27" s="5" t="s">
        <v>15</v>
      </c>
      <c r="H27" s="6" t="s">
        <v>79</v>
      </c>
    </row>
    <row r="28" customFormat="false" ht="15" hidden="false" customHeight="false" outlineLevel="0" collapsed="false">
      <c r="A28" s="4" t="n">
        <v>24</v>
      </c>
      <c r="B28" s="4" t="s">
        <v>72</v>
      </c>
      <c r="C28" s="4" t="s">
        <v>76</v>
      </c>
      <c r="D28" s="4" t="s">
        <v>80</v>
      </c>
      <c r="E28" s="4" t="s">
        <v>24</v>
      </c>
      <c r="F28" s="4" t="s">
        <v>81</v>
      </c>
      <c r="G28" s="5" t="s">
        <v>15</v>
      </c>
      <c r="H28" s="6"/>
    </row>
    <row r="29" customFormat="false" ht="15" hidden="false" customHeight="false" outlineLevel="0" collapsed="false">
      <c r="A29" s="4" t="n">
        <v>25</v>
      </c>
      <c r="B29" s="4" t="s">
        <v>72</v>
      </c>
      <c r="C29" s="4" t="s">
        <v>82</v>
      </c>
      <c r="D29" s="4" t="s">
        <v>83</v>
      </c>
      <c r="E29" s="4" t="s">
        <v>13</v>
      </c>
      <c r="F29" s="4" t="s">
        <v>84</v>
      </c>
      <c r="G29" s="5" t="s">
        <v>15</v>
      </c>
      <c r="H29" s="6"/>
    </row>
    <row r="30" customFormat="false" ht="15" hidden="false" customHeight="false" outlineLevel="0" collapsed="false">
      <c r="A30" s="4" t="n">
        <v>26</v>
      </c>
      <c r="B30" s="4" t="s">
        <v>72</v>
      </c>
      <c r="C30" s="4" t="s">
        <v>82</v>
      </c>
      <c r="D30" s="4" t="s">
        <v>85</v>
      </c>
      <c r="E30" s="4" t="s">
        <v>24</v>
      </c>
      <c r="F30" s="4" t="s">
        <v>86</v>
      </c>
      <c r="G30" s="5" t="s">
        <v>15</v>
      </c>
      <c r="H30" s="6"/>
    </row>
    <row r="31" customFormat="false" ht="15" hidden="false" customHeight="false" outlineLevel="0" collapsed="false">
      <c r="A31" s="4" t="n">
        <v>27</v>
      </c>
      <c r="B31" s="4" t="s">
        <v>72</v>
      </c>
      <c r="C31" s="4" t="s">
        <v>87</v>
      </c>
      <c r="D31" s="4" t="s">
        <v>88</v>
      </c>
      <c r="E31" s="4" t="s">
        <v>13</v>
      </c>
      <c r="F31" s="4" t="s">
        <v>89</v>
      </c>
      <c r="G31" s="5" t="s">
        <v>15</v>
      </c>
      <c r="H31" s="6"/>
    </row>
    <row r="32" customFormat="false" ht="15" hidden="false" customHeight="false" outlineLevel="0" collapsed="false">
      <c r="A32" s="4" t="n">
        <v>28</v>
      </c>
      <c r="B32" s="4" t="s">
        <v>72</v>
      </c>
      <c r="C32" s="4" t="s">
        <v>87</v>
      </c>
      <c r="D32" s="4" t="s">
        <v>90</v>
      </c>
      <c r="E32" s="4" t="s">
        <v>24</v>
      </c>
      <c r="F32" s="4" t="s">
        <v>91</v>
      </c>
      <c r="G32" s="5" t="s">
        <v>15</v>
      </c>
      <c r="H32" s="6"/>
    </row>
    <row r="33" customFormat="false" ht="15" hidden="false" customHeight="false" outlineLevel="0" collapsed="false">
      <c r="A33" s="4" t="n">
        <v>29</v>
      </c>
      <c r="B33" s="4" t="s">
        <v>72</v>
      </c>
      <c r="C33" s="4" t="s">
        <v>87</v>
      </c>
      <c r="D33" s="4" t="s">
        <v>92</v>
      </c>
      <c r="E33" s="4" t="s">
        <v>13</v>
      </c>
      <c r="F33" s="4" t="s">
        <v>93</v>
      </c>
      <c r="G33" s="5" t="s">
        <v>15</v>
      </c>
      <c r="H33" s="6" t="s">
        <v>94</v>
      </c>
    </row>
    <row r="34" customFormat="false" ht="15" hidden="false" customHeight="false" outlineLevel="0" collapsed="false">
      <c r="A34" s="4" t="n">
        <v>30</v>
      </c>
      <c r="B34" s="4" t="s">
        <v>72</v>
      </c>
      <c r="C34" s="4" t="s">
        <v>95</v>
      </c>
      <c r="D34" s="4" t="s">
        <v>96</v>
      </c>
      <c r="E34" s="4" t="s">
        <v>13</v>
      </c>
      <c r="F34" s="4" t="s">
        <v>97</v>
      </c>
      <c r="G34" s="5" t="s">
        <v>15</v>
      </c>
      <c r="H34" s="6"/>
    </row>
    <row r="35" customFormat="false" ht="15" hidden="false" customHeight="false" outlineLevel="0" collapsed="false">
      <c r="A35" s="4" t="n">
        <v>31</v>
      </c>
      <c r="B35" s="4" t="s">
        <v>72</v>
      </c>
      <c r="C35" s="4" t="s">
        <v>98</v>
      </c>
      <c r="D35" s="4" t="s">
        <v>99</v>
      </c>
      <c r="E35" s="4" t="s">
        <v>13</v>
      </c>
      <c r="F35" s="4" t="s">
        <v>100</v>
      </c>
      <c r="G35" s="5" t="s">
        <v>15</v>
      </c>
      <c r="H35" s="6"/>
    </row>
    <row r="36" customFormat="false" ht="15" hidden="false" customHeight="false" outlineLevel="0" collapsed="false">
      <c r="A36" s="4" t="n">
        <v>32</v>
      </c>
      <c r="B36" s="4" t="s">
        <v>72</v>
      </c>
      <c r="C36" s="4" t="s">
        <v>101</v>
      </c>
      <c r="D36" s="4" t="s">
        <v>102</v>
      </c>
      <c r="E36" s="4" t="s">
        <v>13</v>
      </c>
      <c r="F36" s="4" t="s">
        <v>103</v>
      </c>
      <c r="G36" s="5" t="s">
        <v>15</v>
      </c>
      <c r="H36" s="6"/>
    </row>
    <row r="37" customFormat="false" ht="15" hidden="false" customHeight="false" outlineLevel="0" collapsed="false">
      <c r="A37" s="4" t="n">
        <v>33</v>
      </c>
      <c r="B37" s="4" t="s">
        <v>72</v>
      </c>
      <c r="C37" s="4" t="s">
        <v>101</v>
      </c>
      <c r="D37" s="4" t="s">
        <v>104</v>
      </c>
      <c r="E37" s="4" t="s">
        <v>24</v>
      </c>
      <c r="F37" s="4" t="s">
        <v>105</v>
      </c>
      <c r="G37" s="5" t="s">
        <v>15</v>
      </c>
      <c r="H37" s="6"/>
    </row>
    <row r="38" customFormat="false" ht="15" hidden="false" customHeight="false" outlineLevel="0" collapsed="false">
      <c r="A38" s="4" t="n">
        <v>34</v>
      </c>
      <c r="B38" s="4" t="s">
        <v>72</v>
      </c>
      <c r="C38" s="4" t="s">
        <v>101</v>
      </c>
      <c r="D38" s="4" t="s">
        <v>106</v>
      </c>
      <c r="E38" s="4" t="s">
        <v>33</v>
      </c>
      <c r="F38" s="4" t="s">
        <v>107</v>
      </c>
      <c r="G38" s="5" t="s">
        <v>15</v>
      </c>
      <c r="H38" s="6"/>
    </row>
    <row r="39" customFormat="false" ht="15" hidden="false" customHeight="false" outlineLevel="0" collapsed="false">
      <c r="A39" s="4" t="n">
        <v>35</v>
      </c>
      <c r="B39" s="4" t="s">
        <v>72</v>
      </c>
      <c r="C39" s="4" t="s">
        <v>101</v>
      </c>
      <c r="D39" s="4" t="s">
        <v>108</v>
      </c>
      <c r="E39" s="4" t="s">
        <v>33</v>
      </c>
      <c r="F39" s="4" t="s">
        <v>109</v>
      </c>
      <c r="G39" s="5" t="s">
        <v>15</v>
      </c>
      <c r="H39" s="6"/>
    </row>
    <row r="40" customFormat="false" ht="15" hidden="false" customHeight="false" outlineLevel="0" collapsed="false">
      <c r="A40" s="4" t="n">
        <v>36</v>
      </c>
      <c r="B40" s="4" t="s">
        <v>72</v>
      </c>
      <c r="C40" s="4" t="s">
        <v>101</v>
      </c>
      <c r="D40" s="4" t="s">
        <v>110</v>
      </c>
      <c r="E40" s="4" t="s">
        <v>33</v>
      </c>
      <c r="F40" s="4" t="s">
        <v>111</v>
      </c>
      <c r="G40" s="5" t="s">
        <v>15</v>
      </c>
      <c r="H40" s="6"/>
    </row>
    <row r="41" customFormat="false" ht="15" hidden="false" customHeight="false" outlineLevel="0" collapsed="false">
      <c r="A41" s="4" t="n">
        <v>37</v>
      </c>
      <c r="B41" s="4" t="s">
        <v>72</v>
      </c>
      <c r="C41" s="4" t="s">
        <v>101</v>
      </c>
      <c r="D41" s="4" t="s">
        <v>112</v>
      </c>
      <c r="E41" s="4" t="s">
        <v>33</v>
      </c>
      <c r="F41" s="4" t="s">
        <v>113</v>
      </c>
      <c r="G41" s="5" t="s">
        <v>15</v>
      </c>
      <c r="H41" s="6"/>
    </row>
    <row r="42" customFormat="false" ht="15" hidden="false" customHeight="false" outlineLevel="0" collapsed="false">
      <c r="A42" s="4" t="n">
        <v>38</v>
      </c>
      <c r="B42" s="4" t="s">
        <v>72</v>
      </c>
      <c r="C42" s="4" t="s">
        <v>101</v>
      </c>
      <c r="D42" s="4" t="s">
        <v>114</v>
      </c>
      <c r="E42" s="4" t="s">
        <v>33</v>
      </c>
      <c r="F42" s="4" t="s">
        <v>115</v>
      </c>
      <c r="G42" s="5" t="s">
        <v>15</v>
      </c>
      <c r="H42" s="6"/>
    </row>
    <row r="43" customFormat="false" ht="15" hidden="false" customHeight="false" outlineLevel="0" collapsed="false">
      <c r="A43" s="4" t="n">
        <v>39</v>
      </c>
      <c r="B43" s="4" t="s">
        <v>72</v>
      </c>
      <c r="C43" s="4" t="s">
        <v>101</v>
      </c>
      <c r="D43" s="4" t="s">
        <v>116</v>
      </c>
      <c r="E43" s="4" t="s">
        <v>24</v>
      </c>
      <c r="F43" s="4" t="s">
        <v>117</v>
      </c>
      <c r="G43" s="5" t="s">
        <v>15</v>
      </c>
      <c r="H43" s="6"/>
    </row>
    <row r="44" customFormat="false" ht="15" hidden="false" customHeight="false" outlineLevel="0" collapsed="false">
      <c r="A44" s="4" t="n">
        <v>40</v>
      </c>
      <c r="B44" s="4" t="s">
        <v>72</v>
      </c>
      <c r="C44" s="4" t="s">
        <v>101</v>
      </c>
      <c r="D44" s="4" t="s">
        <v>118</v>
      </c>
      <c r="E44" s="4" t="s">
        <v>33</v>
      </c>
      <c r="F44" s="4" t="s">
        <v>119</v>
      </c>
      <c r="G44" s="5" t="s">
        <v>15</v>
      </c>
      <c r="H44" s="6" t="s">
        <v>120</v>
      </c>
    </row>
    <row r="45" customFormat="false" ht="15" hidden="false" customHeight="false" outlineLevel="0" collapsed="false">
      <c r="A45" s="4" t="n">
        <v>41</v>
      </c>
      <c r="B45" s="4" t="s">
        <v>72</v>
      </c>
      <c r="C45" s="4" t="s">
        <v>101</v>
      </c>
      <c r="D45" s="4" t="s">
        <v>121</v>
      </c>
      <c r="E45" s="4" t="s">
        <v>33</v>
      </c>
      <c r="F45" s="4" t="s">
        <v>122</v>
      </c>
      <c r="G45" s="5" t="s">
        <v>15</v>
      </c>
      <c r="H45" s="6"/>
    </row>
    <row r="46" customFormat="false" ht="15" hidden="false" customHeight="false" outlineLevel="0" collapsed="false">
      <c r="A46" s="4" t="n">
        <v>42</v>
      </c>
      <c r="B46" s="4" t="s">
        <v>72</v>
      </c>
      <c r="C46" s="4" t="s">
        <v>101</v>
      </c>
      <c r="D46" s="4" t="s">
        <v>123</v>
      </c>
      <c r="E46" s="4" t="s">
        <v>33</v>
      </c>
      <c r="F46" s="4" t="s">
        <v>124</v>
      </c>
      <c r="G46" s="5" t="s">
        <v>15</v>
      </c>
      <c r="H46" s="6"/>
    </row>
    <row r="47" customFormat="false" ht="15" hidden="false" customHeight="false" outlineLevel="0" collapsed="false">
      <c r="A47" s="4" t="n">
        <v>43</v>
      </c>
      <c r="B47" s="4" t="s">
        <v>72</v>
      </c>
      <c r="C47" s="4" t="s">
        <v>125</v>
      </c>
      <c r="D47" s="4" t="s">
        <v>126</v>
      </c>
      <c r="E47" s="4" t="s">
        <v>24</v>
      </c>
      <c r="F47" s="4" t="s">
        <v>127</v>
      </c>
      <c r="G47" s="5" t="s">
        <v>15</v>
      </c>
      <c r="H47" s="6"/>
    </row>
    <row r="48" customFormat="false" ht="15" hidden="false" customHeight="false" outlineLevel="0" collapsed="false">
      <c r="A48" s="4" t="n">
        <v>44</v>
      </c>
      <c r="B48" s="4" t="s">
        <v>72</v>
      </c>
      <c r="C48" s="4" t="s">
        <v>125</v>
      </c>
      <c r="D48" s="4" t="s">
        <v>128</v>
      </c>
      <c r="E48" s="4" t="s">
        <v>13</v>
      </c>
      <c r="F48" s="4" t="s">
        <v>129</v>
      </c>
      <c r="G48" s="5" t="s">
        <v>15</v>
      </c>
      <c r="H48" s="6"/>
    </row>
    <row r="49" customFormat="false" ht="15" hidden="false" customHeight="false" outlineLevel="0" collapsed="false">
      <c r="A49" s="4" t="n">
        <v>45</v>
      </c>
      <c r="B49" s="4" t="s">
        <v>72</v>
      </c>
      <c r="C49" s="4" t="s">
        <v>125</v>
      </c>
      <c r="D49" s="4" t="s">
        <v>130</v>
      </c>
      <c r="E49" s="4" t="s">
        <v>33</v>
      </c>
      <c r="F49" s="4" t="s">
        <v>131</v>
      </c>
      <c r="G49" s="5" t="s">
        <v>15</v>
      </c>
      <c r="H49" s="6"/>
    </row>
    <row r="50" customFormat="false" ht="15" hidden="false" customHeight="false" outlineLevel="0" collapsed="false">
      <c r="A50" s="4" t="n">
        <v>46</v>
      </c>
      <c r="B50" s="4" t="s">
        <v>72</v>
      </c>
      <c r="C50" s="4" t="s">
        <v>125</v>
      </c>
      <c r="D50" s="4" t="s">
        <v>132</v>
      </c>
      <c r="E50" s="4" t="s">
        <v>33</v>
      </c>
      <c r="F50" s="4" t="s">
        <v>133</v>
      </c>
      <c r="G50" s="5" t="s">
        <v>15</v>
      </c>
      <c r="H50" s="6"/>
    </row>
    <row r="51" customFormat="false" ht="15" hidden="false" customHeight="false" outlineLevel="0" collapsed="false">
      <c r="A51" s="4" t="n">
        <v>47</v>
      </c>
      <c r="B51" s="4" t="s">
        <v>72</v>
      </c>
      <c r="C51" s="4" t="s">
        <v>125</v>
      </c>
      <c r="D51" s="4" t="s">
        <v>134</v>
      </c>
      <c r="E51" s="4" t="s">
        <v>13</v>
      </c>
      <c r="F51" s="4" t="s">
        <v>135</v>
      </c>
      <c r="G51" s="5" t="s">
        <v>15</v>
      </c>
      <c r="H51" s="6"/>
    </row>
    <row r="52" customFormat="false" ht="15" hidden="false" customHeight="false" outlineLevel="0" collapsed="false">
      <c r="A52" s="4" t="n">
        <v>48</v>
      </c>
      <c r="B52" s="4" t="s">
        <v>72</v>
      </c>
      <c r="C52" s="4" t="s">
        <v>125</v>
      </c>
      <c r="D52" s="4" t="s">
        <v>136</v>
      </c>
      <c r="E52" s="4" t="s">
        <v>13</v>
      </c>
      <c r="F52" s="4" t="s">
        <v>137</v>
      </c>
      <c r="G52" s="5" t="s">
        <v>15</v>
      </c>
      <c r="H52" s="6"/>
    </row>
    <row r="53" customFormat="false" ht="15" hidden="false" customHeight="false" outlineLevel="0" collapsed="false">
      <c r="A53" s="4" t="n">
        <v>49</v>
      </c>
      <c r="B53" s="4" t="s">
        <v>72</v>
      </c>
      <c r="C53" s="4" t="s">
        <v>125</v>
      </c>
      <c r="D53" s="4" t="s">
        <v>138</v>
      </c>
      <c r="E53" s="4" t="s">
        <v>33</v>
      </c>
      <c r="F53" s="4" t="s">
        <v>139</v>
      </c>
      <c r="G53" s="5" t="s">
        <v>15</v>
      </c>
      <c r="H53" s="6" t="s">
        <v>140</v>
      </c>
    </row>
    <row r="54" customFormat="false" ht="15" hidden="false" customHeight="false" outlineLevel="0" collapsed="false">
      <c r="A54" s="4" t="n">
        <v>50</v>
      </c>
      <c r="B54" s="4" t="s">
        <v>72</v>
      </c>
      <c r="C54" s="4" t="s">
        <v>125</v>
      </c>
      <c r="D54" s="4" t="s">
        <v>141</v>
      </c>
      <c r="E54" s="4" t="s">
        <v>33</v>
      </c>
      <c r="F54" s="4" t="s">
        <v>142</v>
      </c>
      <c r="G54" s="5" t="s">
        <v>15</v>
      </c>
      <c r="H54" s="6" t="s">
        <v>143</v>
      </c>
    </row>
    <row r="55" customFormat="false" ht="15" hidden="false" customHeight="false" outlineLevel="0" collapsed="false">
      <c r="A55" s="4" t="n">
        <v>51</v>
      </c>
      <c r="B55" s="4" t="s">
        <v>72</v>
      </c>
      <c r="C55" s="4" t="s">
        <v>125</v>
      </c>
      <c r="D55" s="4" t="s">
        <v>144</v>
      </c>
      <c r="E55" s="4" t="s">
        <v>33</v>
      </c>
      <c r="F55" s="4" t="s">
        <v>145</v>
      </c>
      <c r="G55" s="5" t="s">
        <v>15</v>
      </c>
      <c r="H55" s="6"/>
    </row>
    <row r="56" customFormat="false" ht="15" hidden="false" customHeight="false" outlineLevel="0" collapsed="false">
      <c r="A56" s="4" t="n">
        <v>52</v>
      </c>
      <c r="B56" s="4" t="s">
        <v>72</v>
      </c>
      <c r="C56" s="4" t="s">
        <v>125</v>
      </c>
      <c r="D56" s="4" t="s">
        <v>146</v>
      </c>
      <c r="E56" s="4" t="s">
        <v>24</v>
      </c>
      <c r="F56" s="4" t="s">
        <v>147</v>
      </c>
      <c r="G56" s="5" t="s">
        <v>15</v>
      </c>
      <c r="H56" s="6"/>
    </row>
    <row r="57" customFormat="false" ht="15" hidden="false" customHeight="false" outlineLevel="0" collapsed="false">
      <c r="A57" s="4" t="n">
        <v>53</v>
      </c>
      <c r="B57" s="4" t="s">
        <v>72</v>
      </c>
      <c r="C57" s="4" t="s">
        <v>125</v>
      </c>
      <c r="D57" s="4" t="s">
        <v>148</v>
      </c>
      <c r="E57" s="4" t="s">
        <v>149</v>
      </c>
      <c r="F57" s="4" t="s">
        <v>150</v>
      </c>
      <c r="G57" s="5" t="s">
        <v>15</v>
      </c>
      <c r="H57" s="6"/>
    </row>
    <row r="58" customFormat="false" ht="15" hidden="false" customHeight="false" outlineLevel="0" collapsed="false">
      <c r="A58" s="4" t="n">
        <v>54</v>
      </c>
      <c r="B58" s="4" t="s">
        <v>151</v>
      </c>
      <c r="C58" s="4" t="s">
        <v>152</v>
      </c>
      <c r="D58" s="4" t="s">
        <v>153</v>
      </c>
      <c r="E58" s="4" t="s">
        <v>24</v>
      </c>
      <c r="F58" s="4" t="s">
        <v>154</v>
      </c>
      <c r="G58" s="5" t="s">
        <v>15</v>
      </c>
      <c r="H58" s="6"/>
    </row>
    <row r="59" customFormat="false" ht="15" hidden="false" customHeight="false" outlineLevel="0" collapsed="false">
      <c r="A59" s="4" t="n">
        <v>55</v>
      </c>
      <c r="B59" s="4" t="s">
        <v>151</v>
      </c>
      <c r="C59" s="4" t="s">
        <v>152</v>
      </c>
      <c r="D59" s="4" t="s">
        <v>155</v>
      </c>
      <c r="E59" s="4" t="s">
        <v>13</v>
      </c>
      <c r="F59" s="4" t="s">
        <v>156</v>
      </c>
      <c r="G59" s="5" t="s">
        <v>15</v>
      </c>
      <c r="H59" s="6"/>
    </row>
    <row r="60" customFormat="false" ht="15" hidden="false" customHeight="false" outlineLevel="0" collapsed="false">
      <c r="A60" s="4" t="n">
        <v>56</v>
      </c>
      <c r="B60" s="4" t="s">
        <v>151</v>
      </c>
      <c r="C60" s="4" t="s">
        <v>152</v>
      </c>
      <c r="D60" s="4" t="s">
        <v>157</v>
      </c>
      <c r="E60" s="4" t="s">
        <v>13</v>
      </c>
      <c r="F60" s="4" t="s">
        <v>158</v>
      </c>
      <c r="G60" s="5" t="s">
        <v>15</v>
      </c>
      <c r="H60" s="6"/>
    </row>
    <row r="61" customFormat="false" ht="15" hidden="false" customHeight="false" outlineLevel="0" collapsed="false">
      <c r="A61" s="4" t="n">
        <v>57</v>
      </c>
      <c r="B61" s="4" t="s">
        <v>151</v>
      </c>
      <c r="C61" s="4" t="s">
        <v>152</v>
      </c>
      <c r="D61" s="4" t="s">
        <v>159</v>
      </c>
      <c r="E61" s="4" t="s">
        <v>13</v>
      </c>
      <c r="F61" s="4" t="s">
        <v>160</v>
      </c>
      <c r="G61" s="5" t="s">
        <v>15</v>
      </c>
      <c r="H61" s="6"/>
    </row>
    <row r="62" customFormat="false" ht="15" hidden="false" customHeight="false" outlineLevel="0" collapsed="false">
      <c r="A62" s="4" t="n">
        <v>58</v>
      </c>
      <c r="B62" s="4" t="s">
        <v>151</v>
      </c>
      <c r="C62" s="4" t="s">
        <v>152</v>
      </c>
      <c r="D62" s="4" t="s">
        <v>161</v>
      </c>
      <c r="E62" s="4" t="s">
        <v>24</v>
      </c>
      <c r="F62" s="4" t="s">
        <v>162</v>
      </c>
      <c r="G62" s="5" t="s">
        <v>15</v>
      </c>
      <c r="H62" s="6" t="s">
        <v>163</v>
      </c>
    </row>
    <row r="63" customFormat="false" ht="23.85" hidden="false" customHeight="false" outlineLevel="0" collapsed="false">
      <c r="A63" s="4" t="n">
        <v>59</v>
      </c>
      <c r="B63" s="4" t="s">
        <v>151</v>
      </c>
      <c r="C63" s="4" t="s">
        <v>164</v>
      </c>
      <c r="D63" s="4" t="s">
        <v>165</v>
      </c>
      <c r="E63" s="4" t="s">
        <v>13</v>
      </c>
      <c r="F63" s="4" t="s">
        <v>166</v>
      </c>
      <c r="G63" s="5" t="s">
        <v>15</v>
      </c>
      <c r="H63" s="6" t="s">
        <v>167</v>
      </c>
    </row>
    <row r="64" customFormat="false" ht="15" hidden="false" customHeight="false" outlineLevel="0" collapsed="false">
      <c r="A64" s="4" t="n">
        <v>60</v>
      </c>
      <c r="B64" s="4" t="s">
        <v>168</v>
      </c>
      <c r="C64" s="4" t="s">
        <v>169</v>
      </c>
      <c r="D64" s="4" t="s">
        <v>170</v>
      </c>
      <c r="E64" s="4" t="s">
        <v>13</v>
      </c>
      <c r="F64" s="4" t="s">
        <v>171</v>
      </c>
      <c r="G64" s="5" t="s">
        <v>15</v>
      </c>
      <c r="H64" s="6"/>
    </row>
    <row r="65" customFormat="false" ht="15" hidden="false" customHeight="false" outlineLevel="0" collapsed="false">
      <c r="A65" s="4" t="n">
        <v>61</v>
      </c>
      <c r="B65" s="4" t="s">
        <v>168</v>
      </c>
      <c r="C65" s="4" t="s">
        <v>169</v>
      </c>
      <c r="D65" s="4" t="s">
        <v>172</v>
      </c>
      <c r="E65" s="4" t="s">
        <v>33</v>
      </c>
      <c r="F65" s="4" t="s">
        <v>173</v>
      </c>
      <c r="G65" s="5" t="s">
        <v>15</v>
      </c>
      <c r="H65" s="6"/>
    </row>
    <row r="66" customFormat="false" ht="15" hidden="false" customHeight="false" outlineLevel="0" collapsed="false">
      <c r="A66" s="4" t="n">
        <v>62</v>
      </c>
      <c r="B66" s="4" t="s">
        <v>168</v>
      </c>
      <c r="C66" s="4" t="s">
        <v>169</v>
      </c>
      <c r="D66" s="4" t="s">
        <v>174</v>
      </c>
      <c r="E66" s="4" t="s">
        <v>33</v>
      </c>
      <c r="F66" s="4" t="s">
        <v>175</v>
      </c>
      <c r="G66" s="5" t="s">
        <v>15</v>
      </c>
      <c r="H66" s="6"/>
    </row>
    <row r="67" customFormat="false" ht="15" hidden="false" customHeight="false" outlineLevel="0" collapsed="false">
      <c r="A67" s="4" t="n">
        <v>63</v>
      </c>
      <c r="B67" s="4" t="s">
        <v>168</v>
      </c>
      <c r="C67" s="4" t="s">
        <v>169</v>
      </c>
      <c r="D67" s="4" t="s">
        <v>176</v>
      </c>
      <c r="E67" s="4" t="s">
        <v>33</v>
      </c>
      <c r="F67" s="4" t="s">
        <v>177</v>
      </c>
      <c r="G67" s="5" t="s">
        <v>15</v>
      </c>
      <c r="H67" s="6"/>
    </row>
    <row r="68" customFormat="false" ht="15" hidden="false" customHeight="false" outlineLevel="0" collapsed="false">
      <c r="A68" s="4" t="n">
        <v>64</v>
      </c>
      <c r="B68" s="4" t="s">
        <v>168</v>
      </c>
      <c r="C68" s="4" t="s">
        <v>169</v>
      </c>
      <c r="D68" s="4" t="s">
        <v>178</v>
      </c>
      <c r="E68" s="4" t="s">
        <v>33</v>
      </c>
      <c r="F68" s="4" t="s">
        <v>179</v>
      </c>
      <c r="G68" s="5" t="s">
        <v>15</v>
      </c>
      <c r="H68" s="6"/>
    </row>
    <row r="69" customFormat="false" ht="15" hidden="false" customHeight="false" outlineLevel="0" collapsed="false">
      <c r="A69" s="4" t="n">
        <v>65</v>
      </c>
      <c r="B69" s="4" t="s">
        <v>168</v>
      </c>
      <c r="C69" s="4" t="s">
        <v>169</v>
      </c>
      <c r="D69" s="4" t="s">
        <v>180</v>
      </c>
      <c r="E69" s="4" t="s">
        <v>33</v>
      </c>
      <c r="F69" s="4" t="s">
        <v>181</v>
      </c>
      <c r="G69" s="5" t="s">
        <v>15</v>
      </c>
      <c r="H69" s="6"/>
    </row>
    <row r="70" customFormat="false" ht="15" hidden="false" customHeight="false" outlineLevel="0" collapsed="false">
      <c r="A70" s="4" t="n">
        <v>66</v>
      </c>
      <c r="B70" s="4" t="s">
        <v>168</v>
      </c>
      <c r="C70" s="4" t="s">
        <v>182</v>
      </c>
      <c r="D70" s="4" t="s">
        <v>183</v>
      </c>
      <c r="E70" s="4" t="s">
        <v>24</v>
      </c>
      <c r="F70" s="4" t="s">
        <v>184</v>
      </c>
      <c r="G70" s="5" t="s">
        <v>15</v>
      </c>
      <c r="H70" s="6"/>
    </row>
    <row r="71" customFormat="false" ht="15" hidden="false" customHeight="false" outlineLevel="0" collapsed="false">
      <c r="A71" s="4" t="n">
        <v>67</v>
      </c>
      <c r="B71" s="4" t="s">
        <v>168</v>
      </c>
      <c r="C71" s="4" t="s">
        <v>182</v>
      </c>
      <c r="D71" s="4" t="s">
        <v>185</v>
      </c>
      <c r="E71" s="4" t="s">
        <v>13</v>
      </c>
      <c r="F71" s="4" t="s">
        <v>186</v>
      </c>
      <c r="G71" s="5" t="s">
        <v>15</v>
      </c>
      <c r="H71" s="6"/>
    </row>
    <row r="72" customFormat="false" ht="15" hidden="false" customHeight="false" outlineLevel="0" collapsed="false">
      <c r="A72" s="4" t="n">
        <v>68</v>
      </c>
      <c r="B72" s="4" t="s">
        <v>168</v>
      </c>
      <c r="C72" s="4" t="s">
        <v>182</v>
      </c>
      <c r="D72" s="4" t="s">
        <v>187</v>
      </c>
      <c r="E72" s="4" t="s">
        <v>33</v>
      </c>
      <c r="F72" s="4" t="s">
        <v>188</v>
      </c>
      <c r="G72" s="5" t="s">
        <v>15</v>
      </c>
      <c r="H72" s="6" t="s">
        <v>189</v>
      </c>
    </row>
    <row r="73" customFormat="false" ht="15" hidden="false" customHeight="false" outlineLevel="0" collapsed="false">
      <c r="A73" s="4" t="n">
        <v>69</v>
      </c>
      <c r="B73" s="4" t="s">
        <v>168</v>
      </c>
      <c r="C73" s="4" t="s">
        <v>182</v>
      </c>
      <c r="D73" s="4" t="s">
        <v>190</v>
      </c>
      <c r="E73" s="4" t="s">
        <v>33</v>
      </c>
      <c r="F73" s="4" t="s">
        <v>191</v>
      </c>
      <c r="G73" s="5" t="s">
        <v>15</v>
      </c>
      <c r="H73" s="6"/>
    </row>
    <row r="74" customFormat="false" ht="15" hidden="false" customHeight="false" outlineLevel="0" collapsed="false">
      <c r="A74" s="4" t="n">
        <v>70</v>
      </c>
      <c r="B74" s="4" t="s">
        <v>168</v>
      </c>
      <c r="C74" s="4" t="s">
        <v>182</v>
      </c>
      <c r="D74" s="4" t="s">
        <v>192</v>
      </c>
      <c r="E74" s="4" t="s">
        <v>149</v>
      </c>
      <c r="F74" s="4" t="s">
        <v>193</v>
      </c>
      <c r="G74" s="5" t="s">
        <v>15</v>
      </c>
      <c r="H74" s="6"/>
    </row>
  </sheetData>
  <autoFilter ref="A4:H74"/>
  <hyperlinks>
    <hyperlink ref="G5" r:id="rId1" display="Open in Figma"/>
    <hyperlink ref="G6" r:id="rId2" display="Open in Figma"/>
    <hyperlink ref="G7" r:id="rId3" display="Open in Figma"/>
    <hyperlink ref="G8" r:id="rId4" display="Open in Figma"/>
    <hyperlink ref="G9" r:id="rId5" display="Open in Figma"/>
    <hyperlink ref="G10" r:id="rId6" display="Open in Figma"/>
    <hyperlink ref="G11" r:id="rId7" display="Open in Figma"/>
    <hyperlink ref="G12" r:id="rId8" display="Open in Figma"/>
    <hyperlink ref="G13" r:id="rId9" display="Open in Figma"/>
    <hyperlink ref="G14" r:id="rId10" display="Open in Figma"/>
    <hyperlink ref="G15" r:id="rId11" display="Open in Figma"/>
    <hyperlink ref="G16" r:id="rId12" display="Open in Figma"/>
    <hyperlink ref="G17" r:id="rId13" display="Open in Figma"/>
    <hyperlink ref="G18" r:id="rId14" display="Open in Figma"/>
    <hyperlink ref="G19" r:id="rId15" display="Open in Figma"/>
    <hyperlink ref="G20" r:id="rId16" display="Open in Figma"/>
    <hyperlink ref="G21" r:id="rId17" display="Open in Figma"/>
    <hyperlink ref="G22" r:id="rId18" display="Open in Figma"/>
    <hyperlink ref="G23" r:id="rId19" display="Open in Figma"/>
    <hyperlink ref="G24" r:id="rId20" display="Open in Figma"/>
    <hyperlink ref="G25" r:id="rId21" display="Open in Figma"/>
    <hyperlink ref="G26" r:id="rId22" display="Open in Figma"/>
    <hyperlink ref="G27" r:id="rId23" display="Open in Figma"/>
    <hyperlink ref="G28" r:id="rId24" display="Open in Figma"/>
    <hyperlink ref="G29" r:id="rId25" display="Open in Figma"/>
    <hyperlink ref="G30" r:id="rId26" display="Open in Figma"/>
    <hyperlink ref="G31" r:id="rId27" display="Open in Figma"/>
    <hyperlink ref="G32" r:id="rId28" display="Open in Figma"/>
    <hyperlink ref="G33" r:id="rId29" display="Open in Figma"/>
    <hyperlink ref="G34" r:id="rId30" display="Open in Figma"/>
    <hyperlink ref="G35" r:id="rId31" display="Open in Figma"/>
    <hyperlink ref="G36" r:id="rId32" display="Open in Figma"/>
    <hyperlink ref="G37" r:id="rId33" display="Open in Figma"/>
    <hyperlink ref="G38" r:id="rId34" display="Open in Figma"/>
    <hyperlink ref="G39" r:id="rId35" display="Open in Figma"/>
    <hyperlink ref="G40" r:id="rId36" display="Open in Figma"/>
    <hyperlink ref="G41" r:id="rId37" display="Open in Figma"/>
    <hyperlink ref="G42" r:id="rId38" display="Open in Figma"/>
    <hyperlink ref="G43" r:id="rId39" display="Open in Figma"/>
    <hyperlink ref="G44" r:id="rId40" display="Open in Figma"/>
    <hyperlink ref="G45" r:id="rId41" display="Open in Figma"/>
    <hyperlink ref="G46" r:id="rId42" display="Open in Figma"/>
    <hyperlink ref="G47" r:id="rId43" display="Open in Figma"/>
    <hyperlink ref="G48" r:id="rId44" display="Open in Figma"/>
    <hyperlink ref="G49" r:id="rId45" display="Open in Figma"/>
    <hyperlink ref="G50" r:id="rId46" display="Open in Figma"/>
    <hyperlink ref="G51" r:id="rId47" display="Open in Figma"/>
    <hyperlink ref="G52" r:id="rId48" display="Open in Figma"/>
    <hyperlink ref="G53" r:id="rId49" display="Open in Figma"/>
    <hyperlink ref="G54" r:id="rId50" display="Open in Figma"/>
    <hyperlink ref="G55" r:id="rId51" display="Open in Figma"/>
    <hyperlink ref="G56" r:id="rId52" display="Open in Figma"/>
    <hyperlink ref="G57" r:id="rId53" display="Open in Figma"/>
    <hyperlink ref="G58" r:id="rId54" display="Open in Figma"/>
    <hyperlink ref="G59" r:id="rId55" display="Open in Figma"/>
    <hyperlink ref="G60" r:id="rId56" display="Open in Figma"/>
    <hyperlink ref="G61" r:id="rId57" display="Open in Figma"/>
    <hyperlink ref="G62" r:id="rId58" display="Open in Figma"/>
    <hyperlink ref="G63" r:id="rId59" display="Open in Figma"/>
    <hyperlink ref="G64" r:id="rId60" display="Open in Figma"/>
    <hyperlink ref="G65" r:id="rId61" display="Open in Figma"/>
    <hyperlink ref="G66" r:id="rId62" display="Open in Figma"/>
    <hyperlink ref="G67" r:id="rId63" display="Open in Figma"/>
    <hyperlink ref="G68" r:id="rId64" display="Open in Figma"/>
    <hyperlink ref="G69" r:id="rId65" display="Open in Figma"/>
    <hyperlink ref="G70" r:id="rId66" display="Open in Figma"/>
    <hyperlink ref="G71" r:id="rId67" display="Open in Figma"/>
    <hyperlink ref="G72" r:id="rId68" display="Open in Figma"/>
    <hyperlink ref="G73" r:id="rId69" display="Open in Figma"/>
    <hyperlink ref="G74" r:id="rId70" display="Open in Figma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7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7" min="2" style="0" width="10"/>
  </cols>
  <sheetData>
    <row r="1" customFormat="false" ht="17.35" hidden="false" customHeight="false" outlineLevel="0" collapsed="false">
      <c r="A1" s="1" t="s">
        <v>194</v>
      </c>
    </row>
    <row r="3" customFormat="false" ht="15" hidden="false" customHeight="false" outlineLevel="0" collapsed="false">
      <c r="A3" s="7" t="s">
        <v>3</v>
      </c>
      <c r="B3" s="7" t="s">
        <v>13</v>
      </c>
      <c r="C3" s="7" t="s">
        <v>24</v>
      </c>
      <c r="D3" s="7" t="s">
        <v>33</v>
      </c>
      <c r="E3" s="7" t="s">
        <v>68</v>
      </c>
      <c r="F3" s="7" t="s">
        <v>149</v>
      </c>
      <c r="G3" s="7" t="s">
        <v>195</v>
      </c>
    </row>
    <row r="4" customFormat="false" ht="15" hidden="false" customHeight="false" outlineLevel="0" collapsed="false">
      <c r="A4" s="8" t="s">
        <v>10</v>
      </c>
      <c r="B4" s="8" t="n">
        <f aca="false">COUNTIFS('Module Map'!$B$5:$B$74,$A4,'Module Map'!$E$5:$E$74,B$3)</f>
        <v>1</v>
      </c>
      <c r="C4" s="8" t="n">
        <f aca="false">COUNTIFS('Module Map'!$B$5:$B$74,$A4,'Module Map'!$E$5:$E$74,C$3)</f>
        <v>0</v>
      </c>
      <c r="D4" s="8" t="n">
        <f aca="false">COUNTIFS('Module Map'!$B$5:$B$74,$A4,'Module Map'!$E$5:$E$74,D$3)</f>
        <v>0</v>
      </c>
      <c r="E4" s="8" t="n">
        <f aca="false">COUNTIFS('Module Map'!$B$5:$B$74,$A4,'Module Map'!$E$5:$E$74,E$3)</f>
        <v>0</v>
      </c>
      <c r="F4" s="8" t="n">
        <f aca="false">COUNTIFS('Module Map'!$B$5:$B$74,$A4,'Module Map'!$E$5:$E$74,F$3)</f>
        <v>0</v>
      </c>
      <c r="G4" s="8" t="n">
        <f aca="false">SUM(B4:F4)</f>
        <v>1</v>
      </c>
    </row>
    <row r="5" customFormat="false" ht="15" hidden="false" customHeight="false" outlineLevel="0" collapsed="false">
      <c r="A5" s="8" t="s">
        <v>17</v>
      </c>
      <c r="B5" s="8" t="n">
        <f aca="false">COUNTIFS('Module Map'!$B$5:$B$74,$A5,'Module Map'!$E$5:$E$74,B$3)</f>
        <v>5</v>
      </c>
      <c r="C5" s="8" t="n">
        <f aca="false">COUNTIFS('Module Map'!$B$5:$B$74,$A5,'Module Map'!$E$5:$E$74,C$3)</f>
        <v>8</v>
      </c>
      <c r="D5" s="8" t="n">
        <f aca="false">COUNTIFS('Module Map'!$B$5:$B$74,$A5,'Module Map'!$E$5:$E$74,D$3)</f>
        <v>6</v>
      </c>
      <c r="E5" s="8" t="n">
        <f aca="false">COUNTIFS('Module Map'!$B$5:$B$74,$A5,'Module Map'!$E$5:$E$74,E$3)</f>
        <v>1</v>
      </c>
      <c r="F5" s="8" t="n">
        <f aca="false">COUNTIFS('Module Map'!$B$5:$B$74,$A5,'Module Map'!$E$5:$E$74,F$3)</f>
        <v>0</v>
      </c>
      <c r="G5" s="8" t="n">
        <f aca="false">SUM(B5:F5)</f>
        <v>20</v>
      </c>
    </row>
    <row r="6" customFormat="false" ht="15" hidden="false" customHeight="false" outlineLevel="0" collapsed="false">
      <c r="A6" s="8" t="s">
        <v>72</v>
      </c>
      <c r="B6" s="8" t="n">
        <f aca="false">COUNTIFS('Module Map'!$B$5:$B$74,$A6,'Module Map'!$E$5:$E$74,B$3)</f>
        <v>11</v>
      </c>
      <c r="C6" s="8" t="n">
        <f aca="false">COUNTIFS('Module Map'!$B$5:$B$74,$A6,'Module Map'!$E$5:$E$74,C$3)</f>
        <v>7</v>
      </c>
      <c r="D6" s="8" t="n">
        <f aca="false">COUNTIFS('Module Map'!$B$5:$B$74,$A6,'Module Map'!$E$5:$E$74,D$3)</f>
        <v>13</v>
      </c>
      <c r="E6" s="8" t="n">
        <f aca="false">COUNTIFS('Module Map'!$B$5:$B$74,$A6,'Module Map'!$E$5:$E$74,E$3)</f>
        <v>0</v>
      </c>
      <c r="F6" s="8" t="n">
        <f aca="false">COUNTIFS('Module Map'!$B$5:$B$74,$A6,'Module Map'!$E$5:$E$74,F$3)</f>
        <v>1</v>
      </c>
      <c r="G6" s="8" t="n">
        <f aca="false">SUM(B6:F6)</f>
        <v>32</v>
      </c>
    </row>
    <row r="7" customFormat="false" ht="15" hidden="false" customHeight="false" outlineLevel="0" collapsed="false">
      <c r="A7" s="8" t="s">
        <v>151</v>
      </c>
      <c r="B7" s="8" t="n">
        <f aca="false">COUNTIFS('Module Map'!$B$5:$B$74,$A7,'Module Map'!$E$5:$E$74,B$3)</f>
        <v>4</v>
      </c>
      <c r="C7" s="8" t="n">
        <f aca="false">COUNTIFS('Module Map'!$B$5:$B$74,$A7,'Module Map'!$E$5:$E$74,C$3)</f>
        <v>2</v>
      </c>
      <c r="D7" s="8" t="n">
        <f aca="false">COUNTIFS('Module Map'!$B$5:$B$74,$A7,'Module Map'!$E$5:$E$74,D$3)</f>
        <v>0</v>
      </c>
      <c r="E7" s="8" t="n">
        <f aca="false">COUNTIFS('Module Map'!$B$5:$B$74,$A7,'Module Map'!$E$5:$E$74,E$3)</f>
        <v>0</v>
      </c>
      <c r="F7" s="8" t="n">
        <f aca="false">COUNTIFS('Module Map'!$B$5:$B$74,$A7,'Module Map'!$E$5:$E$74,F$3)</f>
        <v>0</v>
      </c>
      <c r="G7" s="8" t="n">
        <f aca="false">SUM(B7:F7)</f>
        <v>6</v>
      </c>
    </row>
    <row r="8" customFormat="false" ht="15" hidden="false" customHeight="false" outlineLevel="0" collapsed="false">
      <c r="A8" s="8" t="s">
        <v>168</v>
      </c>
      <c r="B8" s="8" t="n">
        <f aca="false">COUNTIFS('Module Map'!$B$5:$B$74,$A8,'Module Map'!$E$5:$E$74,B$3)</f>
        <v>2</v>
      </c>
      <c r="C8" s="8" t="n">
        <f aca="false">COUNTIFS('Module Map'!$B$5:$B$74,$A8,'Module Map'!$E$5:$E$74,C$3)</f>
        <v>1</v>
      </c>
      <c r="D8" s="8" t="n">
        <f aca="false">COUNTIFS('Module Map'!$B$5:$B$74,$A8,'Module Map'!$E$5:$E$74,D$3)</f>
        <v>7</v>
      </c>
      <c r="E8" s="8" t="n">
        <f aca="false">COUNTIFS('Module Map'!$B$5:$B$74,$A8,'Module Map'!$E$5:$E$74,E$3)</f>
        <v>0</v>
      </c>
      <c r="F8" s="8" t="n">
        <f aca="false">COUNTIFS('Module Map'!$B$5:$B$74,$A8,'Module Map'!$E$5:$E$74,F$3)</f>
        <v>1</v>
      </c>
      <c r="G8" s="8" t="n">
        <f aca="false">SUM(B8:F8)</f>
        <v>11</v>
      </c>
    </row>
    <row r="9" customFormat="false" ht="15" hidden="false" customHeight="false" outlineLevel="0" collapsed="false">
      <c r="A9" s="9" t="s">
        <v>195</v>
      </c>
      <c r="B9" s="9" t="n">
        <f aca="false">SUM(B4:B8)</f>
        <v>23</v>
      </c>
      <c r="C9" s="9" t="n">
        <f aca="false">SUM(C4:C8)</f>
        <v>18</v>
      </c>
      <c r="D9" s="9" t="n">
        <f aca="false">SUM(D4:D8)</f>
        <v>26</v>
      </c>
      <c r="E9" s="9" t="n">
        <f aca="false">SUM(E4:E8)</f>
        <v>1</v>
      </c>
      <c r="F9" s="9" t="n">
        <f aca="false">SUM(F4:F8)</f>
        <v>2</v>
      </c>
      <c r="G9" s="9" t="n">
        <f aca="false">SUM(G4:G8)</f>
        <v>70</v>
      </c>
    </row>
    <row r="11" customFormat="false" ht="15" hidden="false" customHeight="false" outlineLevel="0" collapsed="false">
      <c r="A11" s="2" t="s">
        <v>196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4"/>
    <col collapsed="false" customWidth="true" hidden="false" outlineLevel="0" max="3" min="3" style="0" width="16"/>
  </cols>
  <sheetData>
    <row r="1" customFormat="false" ht="15" hidden="false" customHeight="false" outlineLevel="0" collapsed="false">
      <c r="A1" s="7" t="s">
        <v>3</v>
      </c>
      <c r="B1" s="7" t="s">
        <v>4</v>
      </c>
      <c r="C1" s="7" t="s">
        <v>197</v>
      </c>
    </row>
    <row r="2" customFormat="false" ht="15" hidden="false" customHeight="false" outlineLevel="0" collapsed="false">
      <c r="A2" s="8" t="s">
        <v>10</v>
      </c>
      <c r="B2" s="8" t="s">
        <v>11</v>
      </c>
      <c r="C2" s="8" t="n">
        <f aca="false">COUNTIFS('Module Map'!$B$5:$B$74,A2,'Module Map'!$C$5:$C$74,B2)</f>
        <v>1</v>
      </c>
    </row>
    <row r="3" customFormat="false" ht="15" hidden="false" customHeight="false" outlineLevel="0" collapsed="false">
      <c r="A3" s="8" t="s">
        <v>17</v>
      </c>
      <c r="B3" s="8" t="s">
        <v>18</v>
      </c>
      <c r="C3" s="8" t="n">
        <f aca="false">COUNTIFS('Module Map'!$B$5:$B$74,A3,'Module Map'!$C$5:$C$74,B3)</f>
        <v>5</v>
      </c>
    </row>
    <row r="4" customFormat="false" ht="15" hidden="false" customHeight="false" outlineLevel="0" collapsed="false">
      <c r="A4" s="8" t="s">
        <v>17</v>
      </c>
      <c r="B4" s="8" t="s">
        <v>31</v>
      </c>
      <c r="C4" s="8" t="n">
        <f aca="false">COUNTIFS('Module Map'!$B$5:$B$74,A4,'Module Map'!$C$5:$C$74,B4)</f>
        <v>6</v>
      </c>
    </row>
    <row r="5" customFormat="false" ht="15" hidden="false" customHeight="false" outlineLevel="0" collapsed="false">
      <c r="A5" s="8" t="s">
        <v>17</v>
      </c>
      <c r="B5" s="8" t="s">
        <v>46</v>
      </c>
      <c r="C5" s="8" t="n">
        <f aca="false">COUNTIFS('Module Map'!$B$5:$B$74,A5,'Module Map'!$C$5:$C$74,B5)</f>
        <v>7</v>
      </c>
    </row>
    <row r="6" customFormat="false" ht="15" hidden="false" customHeight="false" outlineLevel="0" collapsed="false">
      <c r="A6" s="8" t="s">
        <v>17</v>
      </c>
      <c r="B6" s="8" t="s">
        <v>66</v>
      </c>
      <c r="C6" s="8" t="n">
        <f aca="false">COUNTIFS('Module Map'!$B$5:$B$74,A6,'Module Map'!$C$5:$C$74,B6)</f>
        <v>2</v>
      </c>
    </row>
    <row r="7" customFormat="false" ht="15" hidden="false" customHeight="false" outlineLevel="0" collapsed="false">
      <c r="A7" s="8" t="s">
        <v>72</v>
      </c>
      <c r="B7" s="8" t="s">
        <v>73</v>
      </c>
      <c r="C7" s="8" t="n">
        <f aca="false">COUNTIFS('Module Map'!$B$5:$B$74,A7,'Module Map'!$C$5:$C$74,B7)</f>
        <v>1</v>
      </c>
    </row>
    <row r="8" customFormat="false" ht="15" hidden="false" customHeight="false" outlineLevel="0" collapsed="false">
      <c r="A8" s="8" t="s">
        <v>72</v>
      </c>
      <c r="B8" s="8" t="s">
        <v>76</v>
      </c>
      <c r="C8" s="8" t="n">
        <f aca="false">COUNTIFS('Module Map'!$B$5:$B$74,A8,'Module Map'!$C$5:$C$74,B8)</f>
        <v>2</v>
      </c>
    </row>
    <row r="9" customFormat="false" ht="15" hidden="false" customHeight="false" outlineLevel="0" collapsed="false">
      <c r="A9" s="8" t="s">
        <v>72</v>
      </c>
      <c r="B9" s="8" t="s">
        <v>82</v>
      </c>
      <c r="C9" s="8" t="n">
        <f aca="false">COUNTIFS('Module Map'!$B$5:$B$74,A9,'Module Map'!$C$5:$C$74,B9)</f>
        <v>2</v>
      </c>
    </row>
    <row r="10" customFormat="false" ht="15" hidden="false" customHeight="false" outlineLevel="0" collapsed="false">
      <c r="A10" s="8" t="s">
        <v>72</v>
      </c>
      <c r="B10" s="8" t="s">
        <v>87</v>
      </c>
      <c r="C10" s="8" t="n">
        <f aca="false">COUNTIFS('Module Map'!$B$5:$B$74,A10,'Module Map'!$C$5:$C$74,B10)</f>
        <v>3</v>
      </c>
    </row>
    <row r="11" customFormat="false" ht="15" hidden="false" customHeight="false" outlineLevel="0" collapsed="false">
      <c r="A11" s="8" t="s">
        <v>72</v>
      </c>
      <c r="B11" s="8" t="s">
        <v>95</v>
      </c>
      <c r="C11" s="8" t="n">
        <f aca="false">COUNTIFS('Module Map'!$B$5:$B$74,A11,'Module Map'!$C$5:$C$74,B11)</f>
        <v>1</v>
      </c>
    </row>
    <row r="12" customFormat="false" ht="15" hidden="false" customHeight="false" outlineLevel="0" collapsed="false">
      <c r="A12" s="8" t="s">
        <v>72</v>
      </c>
      <c r="B12" s="8" t="s">
        <v>98</v>
      </c>
      <c r="C12" s="8" t="n">
        <f aca="false">COUNTIFS('Module Map'!$B$5:$B$74,A12,'Module Map'!$C$5:$C$74,B12)</f>
        <v>1</v>
      </c>
    </row>
    <row r="13" customFormat="false" ht="15" hidden="false" customHeight="false" outlineLevel="0" collapsed="false">
      <c r="A13" s="8" t="s">
        <v>72</v>
      </c>
      <c r="B13" s="8" t="s">
        <v>101</v>
      </c>
      <c r="C13" s="8" t="n">
        <f aca="false">COUNTIFS('Module Map'!$B$5:$B$74,A13,'Module Map'!$C$5:$C$74,B13)</f>
        <v>11</v>
      </c>
    </row>
    <row r="14" customFormat="false" ht="15" hidden="false" customHeight="false" outlineLevel="0" collapsed="false">
      <c r="A14" s="8" t="s">
        <v>72</v>
      </c>
      <c r="B14" s="8" t="s">
        <v>125</v>
      </c>
      <c r="C14" s="8" t="n">
        <f aca="false">COUNTIFS('Module Map'!$B$5:$B$74,A14,'Module Map'!$C$5:$C$74,B14)</f>
        <v>11</v>
      </c>
    </row>
    <row r="15" customFormat="false" ht="15" hidden="false" customHeight="false" outlineLevel="0" collapsed="false">
      <c r="A15" s="8" t="s">
        <v>151</v>
      </c>
      <c r="B15" s="8" t="s">
        <v>152</v>
      </c>
      <c r="C15" s="8" t="n">
        <f aca="false">COUNTIFS('Module Map'!$B$5:$B$74,A15,'Module Map'!$C$5:$C$74,B15)</f>
        <v>5</v>
      </c>
    </row>
    <row r="16" customFormat="false" ht="15" hidden="false" customHeight="false" outlineLevel="0" collapsed="false">
      <c r="A16" s="8" t="s">
        <v>151</v>
      </c>
      <c r="B16" s="8" t="s">
        <v>164</v>
      </c>
      <c r="C16" s="8" t="n">
        <f aca="false">COUNTIFS('Module Map'!$B$5:$B$74,A16,'Module Map'!$C$5:$C$74,B16)</f>
        <v>1</v>
      </c>
    </row>
    <row r="17" customFormat="false" ht="15" hidden="false" customHeight="false" outlineLevel="0" collapsed="false">
      <c r="A17" s="8" t="s">
        <v>168</v>
      </c>
      <c r="B17" s="8" t="s">
        <v>169</v>
      </c>
      <c r="C17" s="8" t="n">
        <f aca="false">COUNTIFS('Module Map'!$B$5:$B$74,A17,'Module Map'!$C$5:$C$74,B17)</f>
        <v>6</v>
      </c>
    </row>
    <row r="18" customFormat="false" ht="15" hidden="false" customHeight="false" outlineLevel="0" collapsed="false">
      <c r="A18" s="8" t="s">
        <v>168</v>
      </c>
      <c r="B18" s="8" t="s">
        <v>182</v>
      </c>
      <c r="C18" s="8" t="n">
        <f aca="false">COUNTIFS('Module Map'!$B$5:$B$74,A18,'Module Map'!$C$5:$C$74,B18)</f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8"/>
    <col collapsed="false" customWidth="true" hidden="false" outlineLevel="0" max="3" min="3" style="0" width="70"/>
  </cols>
  <sheetData>
    <row r="1" customFormat="false" ht="15" hidden="false" customHeight="false" outlineLevel="0" collapsed="false">
      <c r="A1" s="7" t="s">
        <v>198</v>
      </c>
      <c r="B1" s="7" t="s">
        <v>199</v>
      </c>
      <c r="C1" s="7" t="s">
        <v>9</v>
      </c>
    </row>
    <row r="2" customFormat="false" ht="23.85" hidden="false" customHeight="false" outlineLevel="0" collapsed="false">
      <c r="A2" s="6" t="s">
        <v>200</v>
      </c>
      <c r="B2" s="6" t="s">
        <v>201</v>
      </c>
      <c r="C2" s="6" t="s">
        <v>202</v>
      </c>
    </row>
    <row r="3" customFormat="false" ht="15" hidden="false" customHeight="false" outlineLevel="0" collapsed="false">
      <c r="A3" s="6" t="s">
        <v>203</v>
      </c>
      <c r="B3" s="6" t="s">
        <v>201</v>
      </c>
      <c r="C3" s="6" t="s">
        <v>204</v>
      </c>
    </row>
    <row r="4" customFormat="false" ht="15" hidden="false" customHeight="false" outlineLevel="0" collapsed="false">
      <c r="A4" s="6" t="s">
        <v>205</v>
      </c>
      <c r="B4" s="6" t="s">
        <v>10</v>
      </c>
      <c r="C4" s="6" t="s">
        <v>206</v>
      </c>
    </row>
    <row r="5" customFormat="false" ht="15" hidden="false" customHeight="false" outlineLevel="0" collapsed="false">
      <c r="A5" s="6" t="s">
        <v>207</v>
      </c>
      <c r="B5" s="6" t="s">
        <v>208</v>
      </c>
      <c r="C5" s="6" t="s">
        <v>209</v>
      </c>
    </row>
    <row r="6" customFormat="false" ht="15" hidden="false" customHeight="false" outlineLevel="0" collapsed="false">
      <c r="A6" s="6" t="s">
        <v>210</v>
      </c>
      <c r="B6" s="6" t="s">
        <v>211</v>
      </c>
      <c r="C6" s="6" t="s">
        <v>212</v>
      </c>
    </row>
    <row r="7" customFormat="false" ht="15" hidden="false" customHeight="false" outlineLevel="0" collapsed="false">
      <c r="A7" s="6" t="s">
        <v>213</v>
      </c>
      <c r="B7" s="6" t="s">
        <v>214</v>
      </c>
      <c r="C7" s="6" t="s">
        <v>215</v>
      </c>
    </row>
    <row r="8" customFormat="false" ht="15" hidden="false" customHeight="false" outlineLevel="0" collapsed="false">
      <c r="A8" s="6" t="s">
        <v>216</v>
      </c>
      <c r="B8" s="6" t="s">
        <v>217</v>
      </c>
      <c r="C8" s="6" t="s">
        <v>218</v>
      </c>
    </row>
    <row r="9" customFormat="false" ht="15" hidden="false" customHeight="false" outlineLevel="0" collapsed="false">
      <c r="A9" s="6" t="s">
        <v>219</v>
      </c>
      <c r="B9" s="6" t="s">
        <v>208</v>
      </c>
      <c r="C9" s="6"/>
    </row>
    <row r="10" customFormat="false" ht="15" hidden="false" customHeight="false" outlineLevel="0" collapsed="false">
      <c r="A10" s="6" t="s">
        <v>68</v>
      </c>
      <c r="B10" s="6" t="s">
        <v>66</v>
      </c>
      <c r="C10" s="6"/>
    </row>
    <row r="11" customFormat="false" ht="15" hidden="false" customHeight="false" outlineLevel="0" collapsed="false">
      <c r="A11" s="6" t="s">
        <v>220</v>
      </c>
      <c r="B11" s="6" t="s">
        <v>221</v>
      </c>
      <c r="C11" s="6" t="s">
        <v>222</v>
      </c>
    </row>
    <row r="12" customFormat="false" ht="15" hidden="false" customHeight="false" outlineLevel="0" collapsed="false">
      <c r="A12" s="6" t="s">
        <v>223</v>
      </c>
      <c r="B12" s="6" t="s">
        <v>224</v>
      </c>
      <c r="C12" s="6" t="s">
        <v>225</v>
      </c>
    </row>
    <row r="13" customFormat="false" ht="15" hidden="false" customHeight="false" outlineLevel="0" collapsed="false">
      <c r="A13" s="6" t="s">
        <v>226</v>
      </c>
      <c r="B13" s="6" t="s">
        <v>227</v>
      </c>
      <c r="C13" s="6"/>
    </row>
    <row r="14" customFormat="false" ht="15" hidden="false" customHeight="false" outlineLevel="0" collapsed="false">
      <c r="A14" s="6" t="s">
        <v>228</v>
      </c>
      <c r="B14" s="6" t="s">
        <v>229</v>
      </c>
      <c r="C14" s="6" t="s">
        <v>230</v>
      </c>
    </row>
    <row r="15" customFormat="false" ht="15" hidden="false" customHeight="false" outlineLevel="0" collapsed="false">
      <c r="A15" s="6" t="s">
        <v>144</v>
      </c>
      <c r="B15" s="6" t="s">
        <v>231</v>
      </c>
      <c r="C15" s="6" t="s">
        <v>232</v>
      </c>
    </row>
    <row r="16" customFormat="false" ht="15" hidden="false" customHeight="false" outlineLevel="0" collapsed="false">
      <c r="A16" s="6" t="s">
        <v>233</v>
      </c>
      <c r="B16" s="6" t="s">
        <v>234</v>
      </c>
      <c r="C16" s="6" t="s">
        <v>235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2026-10-11T16:28:22Z</dcterms:created>
  <dc:creator>openpyxl</dc:creator>
  <dc:description/>
  <dc:language>en-US</dc:language>
  <cp:lastModifiedBy/>
  <dcterms:modified xsi:type="dcterms:W3CDTF">2026-10-11T16:28:22Z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